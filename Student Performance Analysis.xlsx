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"/>
    </mc:Choice>
  </mc:AlternateContent>
  <xr:revisionPtr revIDLastSave="0" documentId="8_{ABC39BB6-6391-443E-AA04-E48E3CCAF7E1}" xr6:coauthVersionLast="47" xr6:coauthVersionMax="47" xr10:uidLastSave="{00000000-0000-0000-0000-000000000000}"/>
  <bookViews>
    <workbookView xWindow="-110" yWindow="-110" windowWidth="19420" windowHeight="10300" activeTab="1" xr2:uid="{A77F773C-0301-4A40-8CEB-A708502F570D}"/>
  </bookViews>
  <sheets>
    <sheet name="Sheet4" sheetId="1" r:id="rId1"/>
    <sheet name="Sheet3" sheetId="2" r:id="rId2"/>
    <sheet name="Sheet1" sheetId="3" r:id="rId3"/>
  </sheets>
  <definedNames>
    <definedName name="Slicer_Ethnicity">""</definedName>
    <definedName name="Slicer_Parental_Education">""</definedName>
  </definedNames>
  <calcPr calcId="191029" iterateDelta="1E-4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3" l="1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HomePC</author>
  </authors>
  <commentList>
    <comment ref="A1" authorId="0" shapeId="0" xr:uid="{252C2AA4-77F0-4C23-AA25-387ED1A00B7C}">
      <text>
        <r>
          <rPr>
            <b/>
            <sz val="9"/>
            <color rgb="FF000000"/>
            <rFont val="Tahoma"/>
            <family val="2"/>
          </rPr>
          <t>HomePC: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<sst xmlns="http://schemas.openxmlformats.org/spreadsheetml/2006/main" count="563" uniqueCount="139">
  <si>
    <t>Count of Average Score</t>
  </si>
  <si>
    <t>Score Range</t>
  </si>
  <si>
    <t>Parent Eductn</t>
  </si>
  <si>
    <t>40-50</t>
  </si>
  <si>
    <t>50-60</t>
  </si>
  <si>
    <t>60-70</t>
  </si>
  <si>
    <t>70-80</t>
  </si>
  <si>
    <t>Grand Total</t>
  </si>
  <si>
    <t>Associate's Degree</t>
  </si>
  <si>
    <t>Bachelor's Degree</t>
  </si>
  <si>
    <t>High School</t>
  </si>
  <si>
    <t>Master's Degree</t>
  </si>
  <si>
    <t>Some College</t>
  </si>
  <si>
    <t>Some High School</t>
  </si>
  <si>
    <t>Ethnicity</t>
  </si>
  <si>
    <t>Avg Reading Score</t>
  </si>
  <si>
    <t>Group A</t>
  </si>
  <si>
    <t>Group B</t>
  </si>
  <si>
    <t>Group C</t>
  </si>
  <si>
    <t>Group D</t>
  </si>
  <si>
    <t>Group E</t>
  </si>
  <si>
    <t>Gender</t>
  </si>
  <si>
    <t>Avg Math Score</t>
  </si>
  <si>
    <t>Female</t>
  </si>
  <si>
    <t>Male</t>
  </si>
  <si>
    <t>Test Prep</t>
  </si>
  <si>
    <t>Avg Score</t>
  </si>
  <si>
    <t>Completed</t>
  </si>
  <si>
    <t>None</t>
  </si>
  <si>
    <t>Avg Writing Score</t>
  </si>
  <si>
    <t>Population</t>
  </si>
  <si>
    <t>Student ID</t>
  </si>
  <si>
    <t xml:space="preserve"> Average Score</t>
  </si>
  <si>
    <t>S011</t>
  </si>
  <si>
    <t>S070</t>
  </si>
  <si>
    <t>S044</t>
  </si>
  <si>
    <t>S069</t>
  </si>
  <si>
    <t>S098</t>
  </si>
  <si>
    <t>S079</t>
  </si>
  <si>
    <t>S041</t>
  </si>
  <si>
    <t>S073</t>
  </si>
  <si>
    <t>S013</t>
  </si>
  <si>
    <t>S028</t>
  </si>
  <si>
    <t>Parental Education</t>
  </si>
  <si>
    <t>Test Preparation</t>
  </si>
  <si>
    <t>Math Score</t>
  </si>
  <si>
    <t>Reading Score</t>
  </si>
  <si>
    <t>Writing Score</t>
  </si>
  <si>
    <t>Average 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</si>
  <si>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</si>
  <si>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</si>
  <si>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</si>
  <si>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</si>
  <si>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</si>
  <si>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</si>
  <si>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</si>
  <si>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</si>
  <si>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</si>
  <si>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</si>
  <si>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S012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</si>
  <si>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</si>
  <si>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</si>
  <si>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</si>
  <si>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</si>
  <si>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</si>
  <si>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</si>
  <si>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</si>
  <si>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</si>
  <si>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</si>
  <si>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</si>
  <si>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</si>
  <si>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</si>
  <si>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</si>
  <si>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</si>
  <si>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</si>
  <si>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</si>
  <si>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</si>
  <si>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</si>
  <si>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</si>
  <si>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</si>
  <si>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</si>
  <si>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</si>
  <si>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</si>
  <si>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</si>
  <si>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</si>
  <si>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</si>
  <si>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S042</t>
  </si>
  <si>
    <t>S043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</si>
  <si>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</si>
  <si>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</si>
  <si>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</si>
  <si>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</si>
  <si>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</si>
  <si>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</si>
  <si>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</si>
  <si>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</si>
  <si>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</si>
  <si>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</si>
  <si>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</si>
  <si>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</si>
  <si>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</si>
  <si>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</si>
  <si>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</si>
  <si>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</si>
  <si>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</si>
  <si>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</si>
  <si>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</si>
  <si>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</si>
  <si>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</si>
  <si>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</si>
  <si>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</si>
  <si>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</si>
  <si>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S071</t>
  </si>
  <si>
    <t>S072</t>
  </si>
  <si>
    <t>S074</t>
  </si>
  <si>
    <t>S075</t>
  </si>
  <si>
    <t>S076</t>
  </si>
  <si>
    <t>S077</t>
  </si>
  <si>
    <t>S078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</si>
  <si>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</si>
  <si>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</si>
  <si>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</si>
  <si>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</si>
  <si>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</si>
  <si>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</si>
  <si>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</si>
  <si>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</si>
  <si>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</si>
  <si>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</si>
  <si>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</si>
  <si>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</si>
  <si>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</si>
  <si>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</si>
  <si>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</si>
  <si>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</si>
  <si>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</si>
  <si>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</si>
  <si>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S099</t>
  </si>
  <si>
    <t>S100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</si>
</sst>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FFFFFF"/>
      </left>
      <right/>
      <top style="thin">
        <color rgb="FFABABAB"/>
      </top>
      <bottom/>
      <diagonal/>
    </border>
    <border>
      <left style="thin">
        <color rgb="FFFFFFFF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ABABAB"/>
      </left>
      <right style="thin">
        <color rgb="FFABABAB"/>
      </right>
      <top style="thin">
        <color rgb="FFFFFFFF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8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3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0" fillId="0" borderId="2" xfId="0" applyNumberFormat="1" applyBorder="1"/>
    <xf numFmtId="2" fontId="0" fillId="0" borderId="5" xfId="0" applyNumberFormat="1" applyBorder="1"/>
    <xf numFmtId="2" fontId="0" fillId="0" borderId="6" xfId="0" applyNumberFormat="1" applyBorder="1"/>
    <xf numFmtId="0" fontId="0" fillId="0" borderId="2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2" fontId="0" fillId="0" borderId="9" xfId="0" applyNumberFormat="1" applyBorder="1"/>
    <xf numFmtId="2" fontId="0" fillId="0" borderId="12" xfId="0" applyNumberFormat="1" applyBorder="1"/>
    <xf numFmtId="0" fontId="0" fillId="0" borderId="13" xfId="0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4" xfId="0" applyNumberFormat="1" applyBorder="1"/>
    <xf numFmtId="1" fontId="0" fillId="0" borderId="6" xfId="0" applyNumberFormat="1" applyBorder="1"/>
    <xf numFmtId="9" fontId="0" fillId="0" borderId="6" xfId="0" applyNumberFormat="1" applyBorder="1"/>
    <xf numFmtId="9" fontId="0" fillId="0" borderId="9" xfId="0" applyNumberFormat="1" applyBorder="1"/>
    <xf numFmtId="9" fontId="0" fillId="0" borderId="12" xfId="0" applyNumberFormat="1" applyBorder="1"/>
    <xf numFmtId="0" fontId="14" fillId="0" borderId="15" xfId="0" applyFont="1" applyBorder="1" applyAlignment="1">
      <alignment horizontal="center" vertical="top"/>
    </xf>
    <xf numFmtId="0" fontId="14" fillId="0" borderId="16" xfId="0" applyFont="1" applyFill="1" applyBorder="1" applyAlignment="1">
      <alignment horizontal="center" vertical="top"/>
    </xf>
    <xf numFmtId="1" fontId="0" fillId="0" borderId="0" xfId="0" applyNumberFormat="1"/>
    <xf numFmtId="2" fontId="0" fillId="0" borderId="0" xfId="0" applyNumberFormat="1"/>
  </cellXfs>
  <cellStyles count="18">
    <cellStyle name="Accent" xfId="7" xr:uid="{64B0E662-45D6-418D-8137-2B2BD0B4CF79}"/>
    <cellStyle name="Accent 1" xfId="8" xr:uid="{E5146BE4-52BC-4FB9-A348-091FDA1E7A16}"/>
    <cellStyle name="Accent 2" xfId="9" xr:uid="{437D450A-BDFA-4383-B5B9-54DF87FACE72}"/>
    <cellStyle name="Accent 3" xfId="10" xr:uid="{D59BAA78-811F-4B36-A4BC-52F06E9E943F}"/>
    <cellStyle name="Bad" xfId="4" builtinId="27" customBuiltin="1"/>
    <cellStyle name="Error" xfId="11" xr:uid="{06D2E935-B296-4B35-8E4F-D516581C869C}"/>
    <cellStyle name="Footnote" xfId="12" xr:uid="{02CAFAAF-DF89-42B7-8067-21DE03516B23}"/>
    <cellStyle name="Good" xfId="3" builtinId="26" customBuiltin="1"/>
    <cellStyle name="Heading" xfId="13" xr:uid="{C00C284B-0988-4BAB-8DE3-158C64923D35}"/>
    <cellStyle name="Heading 1" xfId="1" builtinId="16" customBuiltin="1"/>
    <cellStyle name="Heading 2" xfId="2" builtinId="17" customBuiltin="1"/>
    <cellStyle name="Hyperlink" xfId="14" xr:uid="{D7986676-B658-4D09-B6DD-D8FD1CF0446C}"/>
    <cellStyle name="Neutral" xfId="5" builtinId="28" customBuiltin="1"/>
    <cellStyle name="Normal" xfId="0" builtinId="0" customBuiltin="1"/>
    <cellStyle name="Note" xfId="6" builtinId="10" customBuiltin="1"/>
    <cellStyle name="Status" xfId="15" xr:uid="{CBB692D0-03C0-4822-B992-5C8FC6F5DEA3}"/>
    <cellStyle name="Text" xfId="16" xr:uid="{FBB8E1A2-A938-433F-9CB9-2B10EEF0C6E8}"/>
    <cellStyle name="Warning" xfId="17" xr:uid="{7605BA85-9C24-45DA-8840-8DD7A97FF0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7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oleObject" Target="NULL" TargetMode="Externa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oleObject" Target="NULL" TargetMode="Externa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oleObject" Target="NULL" TargetMode="Externa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oleObject" Target="NULL" TargetMode="Externa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oleObject" Target="NULL" TargetMode="Externa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1" i="0" u="none" strike="noStrike" kern="1200" spc="0" baseline="0">
                <a:solidFill>
                  <a:srgbClr val="002060"/>
                </a:solidFill>
                <a:latin typeface="Segoe UI Black" pitchFamily="34"/>
                <a:ea typeface="Segoe UI Black" pitchFamily="34"/>
              </a:defRPr>
            </a:pPr>
            <a:r>
              <a:rPr lang="en-US" sz="1400" b="1" i="0" u="none" strike="noStrike" kern="1200" cap="none" spc="0" baseline="0">
                <a:solidFill>
                  <a:srgbClr val="002060"/>
                </a:solidFill>
                <a:uFillTx/>
                <a:latin typeface="Segoe UI Black" pitchFamily="34"/>
                <a:ea typeface="Segoe UI Black" pitchFamily="34"/>
              </a:rPr>
              <a:t>Student Score by Parent's Education</a:t>
            </a:r>
          </a:p>
        </c:rich>
      </c:tx>
      <c:layout>
        <c:manualLayout>
          <c:xMode val="edge"/>
          <c:yMode val="edge"/>
          <c:x val="0.1977567587762333"/>
          <c:y val="0.10546036004315679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31625531371014"/>
          <c:y val="0.21459660687056564"/>
          <c:w val="0.69046143711971408"/>
          <c:h val="0.44768268730002714"/>
        </c:manualLayout>
      </c:layout>
      <c:barChart>
        <c:barDir val="col"/>
        <c:grouping val="clustered"/>
        <c:varyColors val="0"/>
        <c:ser>
          <c:idx val="0"/>
          <c:order val="0"/>
          <c:tx>
            <c:v>40-50</c:v>
          </c:tx>
          <c:spPr>
            <a:solidFill>
              <a:srgbClr val="FFFF00"/>
            </a:solidFill>
            <a:ln>
              <a:noFill/>
            </a:ln>
          </c:spPr>
          <c:invertIfNegative val="0"/>
          <c:cat>
            <c:strLit>
              <c:ptCount val="6"/>
              <c:pt idx="0">
                <c:v>Associate's Degree</c:v>
              </c:pt>
              <c:pt idx="1">
                <c:v>Bachelor's Degree</c:v>
              </c:pt>
              <c:pt idx="2">
                <c:v>High School</c:v>
              </c:pt>
              <c:pt idx="3">
                <c:v>Master's Degree</c:v>
              </c:pt>
              <c:pt idx="4">
                <c:v>Some College</c:v>
              </c:pt>
              <c:pt idx="5">
                <c:v>Some High School</c:v>
              </c:pt>
            </c:strLit>
          </c:cat>
          <c:val>
            <c:numLit>
              <c:formatCode>General</c:formatCode>
              <c:ptCount val="6"/>
              <c:pt idx="0">
                <c:v>2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0</c:v>
              </c:pt>
              <c:pt idx="5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42E7-4494-92EA-5DEDB0E4FDE6}"/>
            </c:ext>
          </c:extLst>
        </c:ser>
        <c:ser>
          <c:idx val="1"/>
          <c:order val="1"/>
          <c:tx>
            <c:v>50-60</c:v>
          </c:tx>
          <c:spPr>
            <a:solidFill>
              <a:srgbClr val="ED7D31"/>
            </a:solidFill>
            <a:ln>
              <a:noFill/>
            </a:ln>
          </c:spPr>
          <c:invertIfNegative val="0"/>
          <c:cat>
            <c:strLit>
              <c:ptCount val="6"/>
              <c:pt idx="0">
                <c:v>Associate's Degree</c:v>
              </c:pt>
              <c:pt idx="1">
                <c:v>Bachelor's Degree</c:v>
              </c:pt>
              <c:pt idx="2">
                <c:v>High School</c:v>
              </c:pt>
              <c:pt idx="3">
                <c:v>Master's Degree</c:v>
              </c:pt>
              <c:pt idx="4">
                <c:v>Some College</c:v>
              </c:pt>
              <c:pt idx="5">
                <c:v>Some High School</c:v>
              </c:pt>
            </c:strLit>
          </c:cat>
          <c:val>
            <c:numLit>
              <c:formatCode>General</c:formatCode>
              <c:ptCount val="6"/>
              <c:pt idx="0">
                <c:v>9</c:v>
              </c:pt>
              <c:pt idx="1">
                <c:v>3</c:v>
              </c:pt>
              <c:pt idx="2">
                <c:v>5</c:v>
              </c:pt>
              <c:pt idx="3">
                <c:v>4</c:v>
              </c:pt>
              <c:pt idx="4">
                <c:v>3</c:v>
              </c:pt>
              <c:pt idx="5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42E7-4494-92EA-5DEDB0E4FDE6}"/>
            </c:ext>
          </c:extLst>
        </c:ser>
        <c:ser>
          <c:idx val="2"/>
          <c:order val="2"/>
          <c:tx>
            <c:v>60-70</c:v>
          </c:tx>
          <c:spPr>
            <a:solidFill>
              <a:srgbClr val="00B050"/>
            </a:solidFill>
            <a:ln>
              <a:noFill/>
            </a:ln>
          </c:spPr>
          <c:invertIfNegative val="0"/>
          <c:cat>
            <c:strLit>
              <c:ptCount val="6"/>
              <c:pt idx="0">
                <c:v>Associate's Degree</c:v>
              </c:pt>
              <c:pt idx="1">
                <c:v>Bachelor's Degree</c:v>
              </c:pt>
              <c:pt idx="2">
                <c:v>High School</c:v>
              </c:pt>
              <c:pt idx="3">
                <c:v>Master's Degree</c:v>
              </c:pt>
              <c:pt idx="4">
                <c:v>Some College</c:v>
              </c:pt>
              <c:pt idx="5">
                <c:v>Some High School</c:v>
              </c:pt>
            </c:strLit>
          </c:cat>
          <c:val>
            <c:numLit>
              <c:formatCode>General</c:formatCode>
              <c:ptCount val="6"/>
              <c:pt idx="0">
                <c:v>10</c:v>
              </c:pt>
              <c:pt idx="1">
                <c:v>10</c:v>
              </c:pt>
              <c:pt idx="2">
                <c:v>10</c:v>
              </c:pt>
              <c:pt idx="3">
                <c:v>5</c:v>
              </c:pt>
              <c:pt idx="4">
                <c:v>8</c:v>
              </c:pt>
              <c:pt idx="5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2-42E7-4494-92EA-5DEDB0E4FDE6}"/>
            </c:ext>
          </c:extLst>
        </c:ser>
        <c:ser>
          <c:idx val="3"/>
          <c:order val="3"/>
          <c:tx>
            <c:v>70-80</c:v>
          </c:tx>
          <c:spPr>
            <a:solidFill>
              <a:srgbClr val="002060"/>
            </a:solidFill>
            <a:ln>
              <a:noFill/>
            </a:ln>
          </c:spPr>
          <c:invertIfNegative val="0"/>
          <c:cat>
            <c:strLit>
              <c:ptCount val="6"/>
              <c:pt idx="0">
                <c:v>Associate's Degree</c:v>
              </c:pt>
              <c:pt idx="1">
                <c:v>Bachelor's Degree</c:v>
              </c:pt>
              <c:pt idx="2">
                <c:v>High School</c:v>
              </c:pt>
              <c:pt idx="3">
                <c:v>Master's Degree</c:v>
              </c:pt>
              <c:pt idx="4">
                <c:v>Some College</c:v>
              </c:pt>
              <c:pt idx="5">
                <c:v>Some High School</c:v>
              </c:pt>
            </c:strLit>
          </c:cat>
          <c:val>
            <c:numLit>
              <c:formatCode>General</c:formatCode>
              <c:ptCount val="6"/>
              <c:pt idx="0">
                <c:v>2</c:v>
              </c:pt>
              <c:pt idx="1">
                <c:v>3</c:v>
              </c:pt>
              <c:pt idx="2">
                <c:v>3</c:v>
              </c:pt>
              <c:pt idx="3">
                <c:v>1</c:v>
              </c:pt>
              <c:pt idx="4">
                <c:v>2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3-42E7-4494-92EA-5DEDB0E4F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2989919"/>
        <c:axId val="2142991359"/>
      </c:barChart>
      <c:valAx>
        <c:axId val="214299135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lang="en-US" sz="900" b="0" i="0" u="none" strike="noStrike" kern="1200" baseline="0">
                <a:solidFill>
                  <a:srgbClr val="595959"/>
                </a:solidFill>
                <a:latin typeface="Bell MT" pitchFamily="18"/>
              </a:defRPr>
            </a:pPr>
            <a:endParaRPr lang="en-US"/>
          </a:p>
        </c:txPr>
        <c:crossAx val="2142989919"/>
        <c:crosses val="autoZero"/>
        <c:crossBetween val="between"/>
      </c:valAx>
      <c:catAx>
        <c:axId val="2142989919"/>
        <c:scaling>
          <c:orientation val="minMax"/>
        </c:scaling>
        <c:delete val="0"/>
        <c:axPos val="b"/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000" b="0" i="0" u="none" strike="noStrike" kern="1200" baseline="0">
                    <a:solidFill>
                      <a:srgbClr val="595959"/>
                    </a:solidFill>
                    <a:latin typeface="Georgia" pitchFamily="18"/>
                  </a:defRPr>
                </a:pPr>
                <a:r>
                  <a:rPr lang="en-US" sz="1000" b="0" i="0" u="none" strike="noStrike" kern="1200" cap="none" spc="0" baseline="0">
                    <a:solidFill>
                      <a:srgbClr val="595959"/>
                    </a:solidFill>
                    <a:uFillTx/>
                    <a:latin typeface="Georgia" pitchFamily="18"/>
                  </a:rPr>
                  <a:t>Parent's Education</a:t>
                </a:r>
              </a:p>
            </c:rich>
          </c:tx>
          <c:layout>
            <c:manualLayout>
              <c:xMode val="edge"/>
              <c:yMode val="edge"/>
              <c:x val="0.3569419401015807"/>
              <c:y val="0.89821902110356178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Bell MT" pitchFamily="18"/>
              </a:defRPr>
            </a:pPr>
            <a:endParaRPr lang="en-US"/>
          </a:p>
        </c:txPr>
        <c:crossAx val="2142991359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80883266707435286"/>
          <c:y val="0.38571917887215262"/>
          <c:w val="0.17926807207001716"/>
          <c:h val="0.38511726449719258"/>
        </c:manualLayout>
      </c:layout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vert="horz" lIns="0" tIns="0" rIns="0" bIns="0"/>
          <a:lstStyle/>
          <a:p>
            <a:pPr marL="0" marR="0" indent="0" algn="ctr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lang="en-US" sz="1400" b="1" i="0" u="none" strike="noStrike" kern="1200" spc="0" baseline="0">
                <a:solidFill>
                  <a:srgbClr val="002060"/>
                </a:solidFill>
                <a:latin typeface="Segoe UI Black" pitchFamily="34"/>
                <a:ea typeface="Segoe UI Black" pitchFamily="34"/>
              </a:defRPr>
            </a:pPr>
            <a:r>
              <a:rPr lang="en-US" sz="1400" b="1" i="0" u="none" strike="noStrike" kern="1200" cap="none" spc="0" baseline="0">
                <a:solidFill>
                  <a:srgbClr val="002060"/>
                </a:solidFill>
                <a:uFillTx/>
                <a:latin typeface="Segoe UI Black" pitchFamily="34"/>
                <a:ea typeface="Segoe UI Black" pitchFamily="34"/>
              </a:rPr>
              <a:t>Ethnicity by Avg Reading Score</a:t>
            </a:r>
          </a:p>
        </c:rich>
      </c:tx>
      <c:layout>
        <c:manualLayout>
          <c:xMode val="edge"/>
          <c:yMode val="edge"/>
          <c:x val="0.27228878357970993"/>
          <c:y val="5.5636153345660501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0.21332323145705789"/>
          <c:y val="0.18417856422239642"/>
          <c:w val="0.77822539028381621"/>
          <c:h val="0.69107871801431053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00B050"/>
            </a:solidFill>
            <a:ln>
              <a:noFill/>
            </a:ln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0" i="0" u="none" strike="noStrike" kern="1200" baseline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Lit>
              <c:ptCount val="5"/>
              <c:pt idx="0">
                <c:v>Group A</c:v>
              </c:pt>
              <c:pt idx="1">
                <c:v>Group B</c:v>
              </c:pt>
              <c:pt idx="2">
                <c:v>Group C</c:v>
              </c:pt>
              <c:pt idx="3">
                <c:v>Group D</c:v>
              </c:pt>
              <c:pt idx="4">
                <c:v>Group E</c:v>
              </c:pt>
            </c:strLit>
          </c:cat>
          <c:val>
            <c:numLit>
              <c:formatCode>General</c:formatCode>
              <c:ptCount val="5"/>
              <c:pt idx="0">
                <c:v>62.03846153846154</c:v>
              </c:pt>
              <c:pt idx="1">
                <c:v>57.5</c:v>
              </c:pt>
              <c:pt idx="2">
                <c:v>59.541666666666664</c:v>
              </c:pt>
              <c:pt idx="3">
                <c:v>63.058823529411768</c:v>
              </c:pt>
              <c:pt idx="4">
                <c:v>59.473684210526315</c:v>
              </c:pt>
            </c:numLit>
          </c:val>
          <c:extLst>
            <c:ext xmlns:c16="http://schemas.microsoft.com/office/drawing/2014/chart" uri="{C3380CC4-5D6E-409C-BE32-E72D297353CC}">
              <c16:uniqueId val="{00000000-6096-4E4F-AF3E-D396951A7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2987039"/>
        <c:axId val="2142992319"/>
      </c:barChart>
      <c:valAx>
        <c:axId val="2142992319"/>
        <c:scaling>
          <c:orientation val="minMax"/>
        </c:scaling>
        <c:delete val="0"/>
        <c:axPos val="b"/>
        <c:title>
          <c:tx>
            <c:rich>
              <a:bodyPr vert="horz" lIns="0" tIns="0" rIns="0" bIns="0"/>
              <a:lstStyle/>
              <a:p>
                <a:pPr marL="0" marR="0" indent="0" algn="ctr" defTabSz="914400" rtl="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lang="en-US" sz="1000" b="0" i="0" u="none" strike="noStrike" kern="1200" baseline="0">
                    <a:solidFill>
                      <a:srgbClr val="595959"/>
                    </a:solidFill>
                    <a:latin typeface="Georgia" pitchFamily="18"/>
                  </a:defRPr>
                </a:pPr>
                <a:r>
                  <a:rPr lang="en-US" sz="1000" b="0" i="0" u="none" strike="noStrike" kern="1200" cap="none" spc="0" baseline="0">
                    <a:solidFill>
                      <a:srgbClr val="595959"/>
                    </a:solidFill>
                    <a:uFillTx/>
                    <a:latin typeface="Georgia" pitchFamily="18"/>
                  </a:rPr>
                  <a:t>Avg Reading Score</a:t>
                </a:r>
              </a:p>
            </c:rich>
          </c:tx>
          <c:layout>
            <c:manualLayout>
              <c:xMode val="edge"/>
              <c:yMode val="edge"/>
              <c:x val="0.52140059040006814"/>
              <c:y val="0.88459374573738403"/>
            </c:manualLayout>
          </c:layout>
          <c:overlay val="0"/>
          <c:spPr>
            <a:noFill/>
            <a:ln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lang="en-US" sz="900" b="0" i="0" u="none" strike="noStrike" kern="1200" baseline="0">
                <a:solidFill>
                  <a:srgbClr val="595959"/>
                </a:solidFill>
                <a:latin typeface="Bell MT" pitchFamily="18"/>
              </a:defRPr>
            </a:pPr>
            <a:endParaRPr lang="en-US"/>
          </a:p>
        </c:txPr>
        <c:crossAx val="2142987039"/>
        <c:crosses val="autoZero"/>
        <c:crossBetween val="between"/>
      </c:valAx>
      <c:catAx>
        <c:axId val="2142987039"/>
        <c:scaling>
          <c:orientation val="minMax"/>
        </c:scaling>
        <c:delete val="0"/>
        <c:axPos val="l"/>
        <c:title>
          <c:tx>
            <c:rich>
              <a:bodyPr vert="horz" lIns="0" tIns="0" rIns="0" bIns="0"/>
              <a:lstStyle/>
              <a:p>
                <a:pPr marL="0" marR="0" indent="0" algn="ctr" defTabSz="914400" rtl="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lang="en-US" sz="1000" b="0" i="0" u="none" strike="noStrike" kern="1200" baseline="0">
                    <a:solidFill>
                      <a:srgbClr val="595959"/>
                    </a:solidFill>
                    <a:latin typeface="Georgia" pitchFamily="18"/>
                  </a:defRPr>
                </a:pPr>
                <a:r>
                  <a:rPr lang="en-US" sz="1000" b="0" i="0" u="none" strike="noStrike" kern="1200" cap="none" spc="0" baseline="0">
                    <a:solidFill>
                      <a:srgbClr val="595959"/>
                    </a:solidFill>
                    <a:uFillTx/>
                    <a:latin typeface="Georgia" pitchFamily="18"/>
                  </a:rPr>
                  <a:t>Ethnicity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lang="en-US" sz="900" b="0" i="0" u="none" strike="noStrike" kern="1200" baseline="0">
                <a:solidFill>
                  <a:srgbClr val="595959"/>
                </a:solidFill>
                <a:latin typeface="Bell MT" pitchFamily="18"/>
              </a:defRPr>
            </a:pPr>
            <a:endParaRPr lang="en-US"/>
          </a:p>
        </c:txPr>
        <c:crossAx val="2142992319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vert="horz" lIns="0" tIns="0" rIns="0" bIns="0"/>
          <a:lstStyle/>
          <a:p>
            <a:pPr marL="0" marR="0" indent="0" algn="ctr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lang="en-US" sz="1400" b="1" i="0" u="none" strike="noStrike" kern="1200" spc="0" baseline="0">
                <a:solidFill>
                  <a:srgbClr val="002060"/>
                </a:solidFill>
                <a:latin typeface="Segoe UI Black" pitchFamily="34"/>
                <a:ea typeface="Segoe UI Black" pitchFamily="34"/>
              </a:defRPr>
            </a:pPr>
            <a:r>
              <a:rPr lang="en-US" sz="1400" b="1" i="0" u="none" strike="noStrike" kern="1200" cap="none" spc="0" baseline="0">
                <a:solidFill>
                  <a:srgbClr val="002060"/>
                </a:solidFill>
                <a:uFillTx/>
                <a:latin typeface="Segoe UI Black" pitchFamily="34"/>
                <a:ea typeface="Segoe UI Black" pitchFamily="34"/>
              </a:rPr>
              <a:t>Student Population</a:t>
            </a:r>
          </a:p>
        </c:rich>
      </c:tx>
      <c:layout>
        <c:manualLayout>
          <c:xMode val="edge"/>
          <c:yMode val="edge"/>
          <c:x val="0.21077211596100762"/>
          <c:y val="0.12171656006404437"/>
        </c:manualLayout>
      </c:layout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Total</c:v>
          </c:tx>
          <c:explosion val="1"/>
          <c:dPt>
            <c:idx val="0"/>
            <c:bubble3D val="0"/>
            <c:spPr>
              <a:solidFill>
                <a:srgbClr val="00B050"/>
              </a:solidFill>
              <a:ln w="19046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394-47D5-AF9E-BC9D3BDC612D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46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394-47D5-AF9E-BC9D3BDC612D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41308353468582659"/>
                  <c:y val="0.59262836003083674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lIns="0" tIns="0" rIns="0" bIns="0"/>
                <a:lstStyle/>
                <a:p>
                  <a:pPr marL="0" marR="0" indent="0" algn="ctr" defTabSz="914400" fontAlgn="auto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tabLst/>
                    <a:defRPr lang="en-US" sz="900" b="1" i="0" u="none" strike="noStrike" kern="1200" baseline="0">
                      <a:solidFill>
                        <a:srgbClr val="FFFFFF"/>
                      </a:solidFill>
                      <a:latin typeface="Georgia" pitchFamily="18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5394-47D5-AF9E-BC9D3BDC612D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21576683237871014"/>
                  <c:y val="0.6062979292348013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lIns="0" tIns="0" rIns="0" bIns="0"/>
                <a:lstStyle/>
                <a:p>
                  <a:pPr marL="0" marR="0" indent="0" algn="ctr" defTabSz="914400" fontAlgn="auto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tabLst/>
                    <a:defRPr lang="en-US" sz="900" b="1" i="0" u="none" strike="noStrike" kern="1200" baseline="0">
                      <a:solidFill>
                        <a:srgbClr val="FFFFFF"/>
                      </a:solidFill>
                      <a:latin typeface="Georgia" pitchFamily="18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2-5394-47D5-AF9E-BC9D3BDC612D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lang="en-US" sz="900" b="1" i="0" u="none" strike="noStrike" kern="1200" baseline="0">
                    <a:solidFill>
                      <a:srgbClr val="FFFFFF"/>
                    </a:solidFill>
                    <a:latin typeface="Georgia" pitchFamily="18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0.53</c:v>
              </c:pt>
              <c:pt idx="1">
                <c:v>0.47</c:v>
              </c:pt>
            </c:numLit>
          </c:val>
          <c:extLst>
            <c:ext xmlns:c16="http://schemas.microsoft.com/office/drawing/2014/chart" uri="{C3380CC4-5D6E-409C-BE32-E72D297353CC}">
              <c16:uniqueId val="{00000000-5394-47D5-AF9E-BC9D3BDC6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72749562290350789"/>
          <c:y val="0.50938299934597897"/>
          <c:w val="0.22996018567725116"/>
          <c:h val="0.26609313192069056"/>
        </c:manualLayout>
      </c:layout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9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vert="horz" lIns="0" tIns="0" rIns="0" bIns="0"/>
          <a:lstStyle/>
          <a:p>
            <a:pPr marL="0" marR="0" indent="0" algn="ctr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lang="en-US" sz="1400" b="1" i="0" u="none" strike="noStrike" kern="1200" spc="0" baseline="0">
                <a:solidFill>
                  <a:srgbClr val="002060"/>
                </a:solidFill>
                <a:latin typeface="Segoe UI Black" pitchFamily="34"/>
                <a:ea typeface="Segoe UI Black" pitchFamily="34"/>
              </a:defRPr>
            </a:pPr>
            <a:r>
              <a:rPr lang="en-US" sz="1400" b="1" i="0" u="none" strike="noStrike" kern="1200" cap="none" spc="0" baseline="0">
                <a:solidFill>
                  <a:srgbClr val="002060"/>
                </a:solidFill>
                <a:uFillTx/>
                <a:latin typeface="Segoe UI Black" pitchFamily="34"/>
                <a:ea typeface="Segoe UI Black" pitchFamily="34"/>
              </a:rPr>
              <a:t>Average Score by Subject</a:t>
            </a:r>
          </a:p>
        </c:rich>
      </c:tx>
      <c:layout>
        <c:manualLayout>
          <c:xMode val="edge"/>
          <c:yMode val="edge"/>
          <c:x val="0.15732528408183891"/>
          <c:y val="9.1927455988552037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138602393010725"/>
          <c:y val="0.28726695640146471"/>
          <c:w val="0.45813635971559891"/>
          <c:h val="0.58976890893945211"/>
        </c:manualLayout>
      </c:layout>
      <c:barChart>
        <c:barDir val="col"/>
        <c:grouping val="clustered"/>
        <c:varyColors val="0"/>
        <c:ser>
          <c:idx val="0"/>
          <c:order val="0"/>
          <c:tx>
            <c:v>Avg Writing Score</c:v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0" i="0" u="none" strike="noStrike" kern="1200" baseline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60.53</c:v>
              </c:pt>
            </c:numLit>
          </c:val>
          <c:extLst>
            <c:ext xmlns:c16="http://schemas.microsoft.com/office/drawing/2014/chart" uri="{C3380CC4-5D6E-409C-BE32-E72D297353CC}">
              <c16:uniqueId val="{00000000-B020-4246-A1BC-DF531868C511}"/>
            </c:ext>
          </c:extLst>
        </c:ser>
        <c:ser>
          <c:idx val="1"/>
          <c:order val="1"/>
          <c:tx>
            <c:v>Avg Reading Score</c:v>
          </c:tx>
          <c:spPr>
            <a:solidFill>
              <a:srgbClr val="00B81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0" i="0" u="none" strike="noStrike" kern="1200" baseline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60.49</c:v>
              </c:pt>
            </c:numLit>
          </c:val>
          <c:extLst>
            <c:ext xmlns:c16="http://schemas.microsoft.com/office/drawing/2014/chart" uri="{C3380CC4-5D6E-409C-BE32-E72D297353CC}">
              <c16:uniqueId val="{00000001-B020-4246-A1BC-DF531868C511}"/>
            </c:ext>
          </c:extLst>
        </c:ser>
        <c:ser>
          <c:idx val="2"/>
          <c:order val="2"/>
          <c:tx>
            <c:v>Avg Math Score</c:v>
          </c:tx>
          <c:spPr>
            <a:solidFill>
              <a:srgbClr val="00206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0" i="0" u="none" strike="noStrike" kern="1200" baseline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62.51</c:v>
              </c:pt>
            </c:numLit>
          </c:val>
          <c:extLst>
            <c:ext xmlns:c16="http://schemas.microsoft.com/office/drawing/2014/chart" uri="{C3380CC4-5D6E-409C-BE32-E72D297353CC}">
              <c16:uniqueId val="{00000002-B020-4246-A1BC-DF531868C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2982239"/>
        <c:axId val="2142984639"/>
      </c:barChart>
      <c:valAx>
        <c:axId val="2142984639"/>
        <c:scaling>
          <c:orientation val="minMax"/>
        </c:scaling>
        <c:delete val="0"/>
        <c:axPos val="l"/>
        <c:title>
          <c:tx>
            <c:rich>
              <a:bodyPr vert="horz" lIns="0" tIns="0" rIns="0" bIns="0"/>
              <a:lstStyle/>
              <a:p>
                <a:pPr marL="0" marR="0" indent="0" algn="ctr" defTabSz="914400" rtl="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lang="en-US" sz="1000" b="0" i="0" u="none" strike="noStrike" kern="1200" baseline="0">
                    <a:solidFill>
                      <a:srgbClr val="595959"/>
                    </a:solidFill>
                    <a:latin typeface="Georgia" pitchFamily="18"/>
                  </a:defRPr>
                </a:pPr>
                <a:r>
                  <a:rPr lang="en-US" sz="1000" b="0" i="0" u="none" strike="noStrike" kern="1200" cap="none" spc="0" baseline="0">
                    <a:solidFill>
                      <a:srgbClr val="595959"/>
                    </a:solidFill>
                    <a:uFillTx/>
                    <a:latin typeface="Georgia" pitchFamily="18"/>
                  </a:rPr>
                  <a:t>Student Score</a:t>
                </a:r>
              </a:p>
            </c:rich>
          </c:tx>
          <c:layout>
            <c:manualLayout>
              <c:xMode val="edge"/>
              <c:yMode val="edge"/>
              <c:x val="2.9295298248302622E-2"/>
              <c:y val="0.41151899813637721"/>
            </c:manualLayout>
          </c:layout>
          <c:overlay val="0"/>
          <c:spPr>
            <a:noFill/>
            <a:ln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1" i="0" u="none" strike="noStrike" kern="1200" baseline="0">
                <a:solidFill>
                  <a:srgbClr val="595959"/>
                </a:solidFill>
                <a:latin typeface="Bell MT" pitchFamily="18"/>
              </a:defRPr>
            </a:pPr>
            <a:endParaRPr lang="en-US"/>
          </a:p>
        </c:txPr>
        <c:crossAx val="2142982239"/>
        <c:crosses val="autoZero"/>
        <c:crossBetween val="between"/>
      </c:valAx>
      <c:catAx>
        <c:axId val="2142982239"/>
        <c:scaling>
          <c:orientation val="minMax"/>
        </c:scaling>
        <c:delete val="1"/>
        <c:axPos val="b"/>
        <c:title>
          <c:tx>
            <c:rich>
              <a:bodyPr vert="horz" lIns="0" tIns="0" rIns="0" bIns="0"/>
              <a:lstStyle/>
              <a:p>
                <a:pPr marL="0" marR="0" indent="0" algn="ctr" defTabSz="914400" rtl="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lang="en-US" sz="1000" b="0" i="0" u="none" strike="noStrike" kern="1200" baseline="0">
                    <a:solidFill>
                      <a:srgbClr val="595959"/>
                    </a:solidFill>
                    <a:latin typeface="Bell MT" pitchFamily="18"/>
                  </a:defRPr>
                </a:pPr>
                <a:r>
                  <a:rPr lang="en-US" sz="1000" b="0" i="0" u="none" strike="noStrike" kern="1200" cap="none" spc="0" baseline="0">
                    <a:solidFill>
                      <a:srgbClr val="595959"/>
                    </a:solidFill>
                    <a:uFillTx/>
                    <a:latin typeface="Bell MT" pitchFamily="18"/>
                  </a:rPr>
                  <a:t>Subjects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crossAx val="2142984639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74597702877383887"/>
          <c:y val="0.45820424743310151"/>
          <c:w val="0.2298445105471249"/>
          <c:h val="0.41021331824686347"/>
        </c:manualLayout>
      </c:layout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1" i="0" u="none" strike="noStrike" kern="1200" spc="0" baseline="0">
                <a:solidFill>
                  <a:srgbClr val="002060"/>
                </a:solidFill>
                <a:latin typeface="Segoe UI Black" pitchFamily="34"/>
                <a:ea typeface="Segoe UI Black" pitchFamily="34"/>
              </a:defRPr>
            </a:pPr>
            <a:r>
              <a:rPr lang="en-US" sz="1400" b="1" i="0" u="none" strike="noStrike" kern="1200" cap="none" spc="0" baseline="0">
                <a:solidFill>
                  <a:srgbClr val="002060"/>
                </a:solidFill>
                <a:uFillTx/>
                <a:latin typeface="Segoe UI Black" pitchFamily="34"/>
                <a:ea typeface="Segoe UI Black" pitchFamily="34"/>
              </a:rPr>
              <a:t>Top 10 Students</a:t>
            </a:r>
          </a:p>
        </c:rich>
      </c:tx>
      <c:layout>
        <c:manualLayout>
          <c:xMode val="edge"/>
          <c:yMode val="edge"/>
          <c:x val="0.36034335804919815"/>
          <c:y val="1.4971031696078847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96187641709669"/>
          <c:y val="0.19228398449264816"/>
          <c:w val="0.78144489153723717"/>
          <c:h val="0.67088581977018069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00B81F"/>
              </a:solidFill>
              <a:prstDash val="solid"/>
              <a:round/>
            </a:ln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1" i="0" u="none" strike="noStrike" kern="1200" baseline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Lit>
              <c:ptCount val="10"/>
              <c:pt idx="0">
                <c:v>S011</c:v>
              </c:pt>
              <c:pt idx="1">
                <c:v>S070</c:v>
              </c:pt>
              <c:pt idx="2">
                <c:v>S044</c:v>
              </c:pt>
              <c:pt idx="3">
                <c:v>S069</c:v>
              </c:pt>
              <c:pt idx="4">
                <c:v>S098</c:v>
              </c:pt>
              <c:pt idx="5">
                <c:v>S079</c:v>
              </c:pt>
              <c:pt idx="6">
                <c:v>S041</c:v>
              </c:pt>
              <c:pt idx="7">
                <c:v>S073</c:v>
              </c:pt>
              <c:pt idx="8">
                <c:v>S013</c:v>
              </c:pt>
              <c:pt idx="9">
                <c:v>S028</c:v>
              </c:pt>
            </c:strLit>
          </c:cat>
          <c:val>
            <c:numLit>
              <c:formatCode>General</c:formatCode>
              <c:ptCount val="10"/>
              <c:pt idx="0">
                <c:v>78</c:v>
              </c:pt>
              <c:pt idx="1">
                <c:v>77.666666666666671</c:v>
              </c:pt>
              <c:pt idx="2">
                <c:v>76</c:v>
              </c:pt>
              <c:pt idx="3">
                <c:v>75.333333333333329</c:v>
              </c:pt>
              <c:pt idx="4">
                <c:v>75</c:v>
              </c:pt>
              <c:pt idx="5">
                <c:v>72.666666666666671</c:v>
              </c:pt>
              <c:pt idx="6">
                <c:v>72.666666666666671</c:v>
              </c:pt>
              <c:pt idx="7">
                <c:v>72</c:v>
              </c:pt>
              <c:pt idx="8">
                <c:v>71.666666666666671</c:v>
              </c:pt>
              <c:pt idx="9">
                <c:v>71.666666666666671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C0E-4F7E-B841-B73948A4C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2991839"/>
        <c:axId val="2142983679"/>
      </c:lineChart>
      <c:valAx>
        <c:axId val="2142983679"/>
        <c:scaling>
          <c:orientation val="minMax"/>
        </c:scaling>
        <c:delete val="0"/>
        <c:axPos val="l"/>
        <c:title>
          <c:tx>
            <c:rich>
              <a:bodyPr vert="horz" lIns="0" tIns="0" rIns="0" bIns="0"/>
              <a:lstStyle/>
              <a:p>
                <a:pPr marL="0" marR="0" indent="0" algn="ctr" defTabSz="914400" rtl="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lang="en-US" sz="1000" b="0" i="0" u="none" strike="noStrike" kern="1200" baseline="0">
                    <a:solidFill>
                      <a:srgbClr val="595959"/>
                    </a:solidFill>
                    <a:latin typeface="Georgia" pitchFamily="18"/>
                  </a:defRPr>
                </a:pPr>
                <a:r>
                  <a:rPr lang="en-US" sz="1000" b="0" i="0" u="none" strike="noStrike" kern="1200" cap="none" spc="0" baseline="0">
                    <a:solidFill>
                      <a:srgbClr val="595959"/>
                    </a:solidFill>
                    <a:uFillTx/>
                    <a:latin typeface="Georgia" pitchFamily="18"/>
                  </a:rPr>
                  <a:t>Score</a:t>
                </a:r>
              </a:p>
            </c:rich>
          </c:tx>
          <c:layout>
            <c:manualLayout>
              <c:xMode val="edge"/>
              <c:yMode val="edge"/>
              <c:x val="1.9971546399178804E-2"/>
              <c:y val="0.41727205861699102"/>
            </c:manualLayout>
          </c:layout>
          <c:overlay val="0"/>
          <c:spPr>
            <a:noFill/>
            <a:ln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Bell MT" pitchFamily="18"/>
              </a:defRPr>
            </a:pPr>
            <a:endParaRPr lang="en-US"/>
          </a:p>
        </c:txPr>
        <c:crossAx val="2142991839"/>
        <c:crosses val="autoZero"/>
        <c:crossBetween val="between"/>
      </c:valAx>
      <c:catAx>
        <c:axId val="2142991839"/>
        <c:scaling>
          <c:orientation val="minMax"/>
        </c:scaling>
        <c:delete val="0"/>
        <c:axPos val="b"/>
        <c:title>
          <c:tx>
            <c:rich>
              <a:bodyPr vert="horz" lIns="0" tIns="0" rIns="0" bIns="0"/>
              <a:lstStyle/>
              <a:p>
                <a:pPr marL="0" marR="0" indent="0" algn="ctr" defTabSz="914400" rtl="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lang="en-US" sz="1000" b="0" i="0" u="none" strike="noStrike" kern="1200" baseline="0">
                    <a:solidFill>
                      <a:srgbClr val="595959"/>
                    </a:solidFill>
                    <a:latin typeface="Georgia" pitchFamily="18"/>
                  </a:defRPr>
                </a:pPr>
                <a:r>
                  <a:rPr lang="en-US" sz="1000" b="0" i="0" u="none" strike="noStrike" kern="1200" cap="none" spc="0" baseline="0">
                    <a:solidFill>
                      <a:srgbClr val="595959"/>
                    </a:solidFill>
                    <a:uFillTx/>
                    <a:latin typeface="Georgia" pitchFamily="18"/>
                  </a:rPr>
                  <a:t>Student ID</a:t>
                </a:r>
              </a:p>
            </c:rich>
          </c:tx>
          <c:layout>
            <c:manualLayout>
              <c:xMode val="edge"/>
              <c:yMode val="edge"/>
              <c:x val="0.42524364620972371"/>
              <c:y val="0.84425882443512057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Bell MT" pitchFamily="18"/>
              </a:defRPr>
            </a:pPr>
            <a:endParaRPr lang="en-US"/>
          </a:p>
        </c:txPr>
        <c:crossAx val="2142983679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vert="horz" lIns="0" tIns="0" rIns="0" bIns="0"/>
          <a:lstStyle/>
          <a:p>
            <a:pPr marL="0" marR="0" indent="0" algn="ctr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lang="en-US" sz="1400" b="1" i="0" u="none" strike="noStrike" kern="1200" spc="0" baseline="0">
                <a:solidFill>
                  <a:srgbClr val="002060"/>
                </a:solidFill>
                <a:latin typeface="Segoe UI Black" pitchFamily="34"/>
                <a:ea typeface="Segoe UI Black" pitchFamily="34"/>
              </a:defRPr>
            </a:pPr>
            <a:r>
              <a:rPr lang="en-US" sz="1400" b="1" i="0" u="none" strike="noStrike" kern="1200" cap="none" spc="0" baseline="0">
                <a:solidFill>
                  <a:srgbClr val="002060"/>
                </a:solidFill>
                <a:uFillTx/>
                <a:latin typeface="Segoe UI Black" pitchFamily="34"/>
                <a:ea typeface="Segoe UI Black" pitchFamily="34"/>
              </a:rPr>
              <a:t>Graph of Students Test Preparation Outcome</a:t>
            </a:r>
          </a:p>
        </c:rich>
      </c:tx>
      <c:layout>
        <c:manualLayout>
          <c:xMode val="edge"/>
          <c:yMode val="edge"/>
          <c:x val="0.163985609557426"/>
          <c:y val="5.7837115805188515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3.7822886297376089E-2"/>
          <c:y val="0.32040694764685668"/>
          <c:w val="0.44891690962099123"/>
          <c:h val="0.57910758728095113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00B050"/>
              </a:solidFill>
              <a:ln w="3492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A5D-4092-B401-3CC4CFC051F6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3492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6A5D-4092-B401-3CC4CFC051F6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1" i="0" u="none" strike="noStrike" kern="1200" baseline="0">
                    <a:solidFill>
                      <a:srgbClr val="FFFFFF"/>
                    </a:solidFill>
                    <a:latin typeface="Georgia" pitchFamily="18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Lit>
              <c:ptCount val="2"/>
              <c:pt idx="0">
                <c:v>Completed</c:v>
              </c:pt>
              <c:pt idx="1">
                <c:v>None</c:v>
              </c:pt>
            </c:strLit>
          </c:cat>
          <c:val>
            <c:numLit>
              <c:formatCode>General</c:formatCode>
              <c:ptCount val="2"/>
              <c:pt idx="0">
                <c:v>66.341463414634163</c:v>
              </c:pt>
              <c:pt idx="1">
                <c:v>57.587570621468892</c:v>
              </c:pt>
            </c:numLit>
          </c:val>
          <c:extLst>
            <c:ext xmlns:c16="http://schemas.microsoft.com/office/drawing/2014/chart" uri="{C3380CC4-5D6E-409C-BE32-E72D297353CC}">
              <c16:uniqueId val="{00000000-6A5D-4092-B401-3CC4CFC05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  <c:holeSize val="25"/>
      </c:doughnutChart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61898483763909673"/>
          <c:y val="0.48824530846898284"/>
          <c:w val="0.25329537320231665"/>
          <c:h val="0.30450797309272187"/>
        </c:manualLayout>
      </c:layout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9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78793</xdr:colOff>
      <xdr:row>0</xdr:row>
      <xdr:rowOff>62535</xdr:rowOff>
    </xdr:from>
    <xdr:ext cx="1516724" cy="649434"/>
    <xdr:sp macro="" textlink="">
      <xdr:nvSpPr>
        <xdr:cNvPr id="3" name="Rectangle: Rounded Corners 1">
          <a:extLst>
            <a:ext uri="{FF2B5EF4-FFF2-40B4-BE49-F238E27FC236}">
              <a16:creationId xmlns:a16="http://schemas.microsoft.com/office/drawing/2014/main" id="{F76D1709-CD59-8660-ED92-05FA1EE0A042}"/>
            </a:ext>
          </a:extLst>
        </xdr:cNvPr>
        <xdr:cNvSpPr/>
      </xdr:nvSpPr>
      <xdr:spPr>
        <a:xfrm>
          <a:off x="3660193" y="62535"/>
          <a:ext cx="1516724" cy="649434"/>
        </a:xfrm>
        <a:custGeom>
          <a:avLst>
            <a:gd name="f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10800"/>
            <a:gd name="f11" fmla="val -2147483647"/>
            <a:gd name="f12" fmla="val 2147483647"/>
            <a:gd name="f13" fmla="abs f4"/>
            <a:gd name="f14" fmla="abs f5"/>
            <a:gd name="f15" fmla="abs f6"/>
            <a:gd name="f16" fmla="*/ f8 1 180"/>
            <a:gd name="f17" fmla="pin 0 f0 10800"/>
            <a:gd name="f18" fmla="+- 0 0 f2"/>
            <a:gd name="f19" fmla="?: f13 f4 1"/>
            <a:gd name="f20" fmla="?: f14 f5 1"/>
            <a:gd name="f21" fmla="?: f15 f6 1"/>
            <a:gd name="f22" fmla="*/ f9 f16 1"/>
            <a:gd name="f23" fmla="+- f7 f17 0"/>
            <a:gd name="f24" fmla="*/ f19 1 21600"/>
            <a:gd name="f25" fmla="*/ f20 1 21600"/>
            <a:gd name="f26" fmla="*/ 21600 f19 1"/>
            <a:gd name="f27" fmla="*/ 21600 f20 1"/>
            <a:gd name="f28" fmla="+- 0 0 f22"/>
            <a:gd name="f29" fmla="min f25 f24"/>
            <a:gd name="f30" fmla="*/ f26 1 f21"/>
            <a:gd name="f31" fmla="*/ f27 1 f21"/>
            <a:gd name="f32" fmla="*/ f28 f1 1"/>
            <a:gd name="f33" fmla="*/ f32 1 f8"/>
            <a:gd name="f34" fmla="+- f31 0 f17"/>
            <a:gd name="f35" fmla="+- f30 0 f17"/>
            <a:gd name="f36" fmla="*/ f17 f29 1"/>
            <a:gd name="f37" fmla="*/ f7 f29 1"/>
            <a:gd name="f38" fmla="*/ f23 f29 1"/>
            <a:gd name="f39" fmla="*/ f31 f29 1"/>
            <a:gd name="f40" fmla="*/ f30 f29 1"/>
            <a:gd name="f41" fmla="+- f33 0 f2"/>
            <a:gd name="f42" fmla="+- f37 0 f38"/>
            <a:gd name="f43" fmla="+- f38 0 f37"/>
            <a:gd name="f44" fmla="*/ f34 f29 1"/>
            <a:gd name="f45" fmla="*/ f35 f29 1"/>
            <a:gd name="f46" fmla="cos 1 f41"/>
            <a:gd name="f47" fmla="abs f42"/>
            <a:gd name="f48" fmla="abs f43"/>
            <a:gd name="f49" fmla="?: f42 f18 f2"/>
            <a:gd name="f50" fmla="?: f42 f2 f18"/>
            <a:gd name="f51" fmla="?: f42 f3 f2"/>
            <a:gd name="f52" fmla="?: f42 f2 f3"/>
            <a:gd name="f53" fmla="+- f39 0 f44"/>
            <a:gd name="f54" fmla="?: f43 f18 f2"/>
            <a:gd name="f55" fmla="?: f43 f2 f18"/>
            <a:gd name="f56" fmla="+- f40 0 f45"/>
            <a:gd name="f57" fmla="+- f44 0 f39"/>
            <a:gd name="f58" fmla="+- f45 0 f40"/>
            <a:gd name="f59" fmla="?: f42 0 f1"/>
            <a:gd name="f60" fmla="?: f42 f1 0"/>
            <a:gd name="f61" fmla="+- 0 0 f46"/>
            <a:gd name="f62" fmla="?: f42 f52 f51"/>
            <a:gd name="f63" fmla="?: f42 f51 f52"/>
            <a:gd name="f64" fmla="?: f43 f50 f49"/>
            <a:gd name="f65" fmla="abs f53"/>
            <a:gd name="f66" fmla="?: f53 0 f1"/>
            <a:gd name="f67" fmla="?: f53 f1 0"/>
            <a:gd name="f68" fmla="?: f53 f54 f55"/>
            <a:gd name="f69" fmla="abs f56"/>
            <a:gd name="f70" fmla="abs f57"/>
            <a:gd name="f71" fmla="?: f56 f18 f2"/>
            <a:gd name="f72" fmla="?: f56 f2 f18"/>
            <a:gd name="f73" fmla="?: f56 f3 f2"/>
            <a:gd name="f74" fmla="?: f56 f2 f3"/>
            <a:gd name="f75" fmla="abs f58"/>
            <a:gd name="f76" fmla="?: f58 f18 f2"/>
            <a:gd name="f77" fmla="?: f58 f2 f18"/>
            <a:gd name="f78" fmla="?: f58 f60 f59"/>
            <a:gd name="f79" fmla="?: f58 f59 f60"/>
            <a:gd name="f80" fmla="*/ f17 f61 1"/>
            <a:gd name="f81" fmla="?: f43 f63 f62"/>
            <a:gd name="f82" fmla="?: f43 f67 f66"/>
            <a:gd name="f83" fmla="?: f43 f66 f67"/>
            <a:gd name="f84" fmla="?: f56 f74 f73"/>
            <a:gd name="f85" fmla="?: f56 f73 f74"/>
            <a:gd name="f86" fmla="?: f57 f72 f71"/>
            <a:gd name="f87" fmla="?: f42 f78 f79"/>
            <a:gd name="f88" fmla="?: f42 f76 f77"/>
            <a:gd name="f89" fmla="*/ f80 3163 1"/>
            <a:gd name="f90" fmla="?: f53 f82 f83"/>
            <a:gd name="f91" fmla="?: f57 f85 f84"/>
            <a:gd name="f92" fmla="*/ f89 1 7636"/>
            <a:gd name="f93" fmla="+- f7 f92 0"/>
            <a:gd name="f94" fmla="+- f30 0 f92"/>
            <a:gd name="f95" fmla="+- f31 0 f92"/>
            <a:gd name="f96" fmla="*/ f93 f29 1"/>
            <a:gd name="f97" fmla="*/ f94 f29 1"/>
            <a:gd name="f98" fmla="*/ f95 f29 1"/>
          </a:gdLst>
          <a:ahLst>
            <a:ahXY gdRefX="f0" minX="f7" maxX="f10">
              <a:pos x="f36" y="f37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96" t="f96" r="f97" b="f98"/>
          <a:pathLst>
            <a:path>
              <a:moveTo>
                <a:pt x="f38" y="f37"/>
              </a:moveTo>
              <a:arcTo wR="f47" hR="f48" stAng="f81" swAng="f64"/>
              <a:lnTo>
                <a:pt x="f37" y="f44"/>
              </a:lnTo>
              <a:arcTo wR="f48" hR="f65" stAng="f90" swAng="f68"/>
              <a:lnTo>
                <a:pt x="f45" y="f39"/>
              </a:lnTo>
              <a:arcTo wR="f69" hR="f70" stAng="f91" swAng="f86"/>
              <a:lnTo>
                <a:pt x="f40" y="f38"/>
              </a:lnTo>
              <a:arcTo wR="f75" hR="f47" stAng="f87" swAng="f88"/>
              <a:close/>
            </a:path>
          </a:pathLst>
        </a:custGeom>
        <a:solidFill>
          <a:srgbClr val="002060"/>
        </a:solidFill>
        <a:ln cap="flat">
          <a:noFill/>
          <a:prstDash val="solid"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US" sz="1800" b="1" i="0" u="none" strike="noStrike" kern="0" cap="none" spc="0" baseline="0">
              <a:solidFill>
                <a:srgbClr val="FFFFFF"/>
              </a:solidFill>
              <a:uFillTx/>
              <a:latin typeface="Calibri"/>
            </a:rPr>
            <a:t>100</a:t>
          </a:r>
        </a:p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US" sz="1050" b="1" i="0" u="none" strike="noStrike" kern="0" cap="none" spc="0" baseline="0">
              <a:solidFill>
                <a:srgbClr val="FFFFFF"/>
              </a:solidFill>
              <a:uFillTx/>
              <a:latin typeface="Calibri"/>
            </a:rPr>
            <a:t>Students</a:t>
          </a:r>
          <a:endParaRPr lang="en-US" sz="1100" b="1" i="0" u="none" strike="noStrike" kern="0" cap="none" spc="0" baseline="0">
            <a:solidFill>
              <a:srgbClr val="FFFFFF"/>
            </a:solidFill>
            <a:uFillTx/>
            <a:latin typeface="Calibri"/>
          </a:endParaRPr>
        </a:p>
      </xdr:txBody>
    </xdr:sp>
    <xdr:clientData/>
  </xdr:oneCellAnchor>
  <xdr:oneCellAnchor>
    <xdr:from>
      <xdr:col>16</xdr:col>
      <xdr:colOff>57232</xdr:colOff>
      <xdr:row>0</xdr:row>
      <xdr:rowOff>73764</xdr:rowOff>
    </xdr:from>
    <xdr:ext cx="1665963" cy="634995"/>
    <xdr:sp macro="" textlink="">
      <xdr:nvSpPr>
        <xdr:cNvPr id="7" name="Rectangle: Rounded Corners 4">
          <a:extLst>
            <a:ext uri="{FF2B5EF4-FFF2-40B4-BE49-F238E27FC236}">
              <a16:creationId xmlns:a16="http://schemas.microsoft.com/office/drawing/2014/main" id="{99CE0445-7187-A03D-C0B7-C523D01E031B}"/>
            </a:ext>
          </a:extLst>
        </xdr:cNvPr>
        <xdr:cNvSpPr/>
      </xdr:nvSpPr>
      <xdr:spPr>
        <a:xfrm>
          <a:off x="10344232" y="73764"/>
          <a:ext cx="1665963" cy="634995"/>
        </a:xfrm>
        <a:custGeom>
          <a:avLst>
            <a:gd name="f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10800"/>
            <a:gd name="f11" fmla="val -2147483647"/>
            <a:gd name="f12" fmla="val 2147483647"/>
            <a:gd name="f13" fmla="abs f4"/>
            <a:gd name="f14" fmla="abs f5"/>
            <a:gd name="f15" fmla="abs f6"/>
            <a:gd name="f16" fmla="*/ f8 1 180"/>
            <a:gd name="f17" fmla="pin 0 f0 10800"/>
            <a:gd name="f18" fmla="+- 0 0 f2"/>
            <a:gd name="f19" fmla="?: f13 f4 1"/>
            <a:gd name="f20" fmla="?: f14 f5 1"/>
            <a:gd name="f21" fmla="?: f15 f6 1"/>
            <a:gd name="f22" fmla="*/ f9 f16 1"/>
            <a:gd name="f23" fmla="+- f7 f17 0"/>
            <a:gd name="f24" fmla="*/ f19 1 21600"/>
            <a:gd name="f25" fmla="*/ f20 1 21600"/>
            <a:gd name="f26" fmla="*/ 21600 f19 1"/>
            <a:gd name="f27" fmla="*/ 21600 f20 1"/>
            <a:gd name="f28" fmla="+- 0 0 f22"/>
            <a:gd name="f29" fmla="min f25 f24"/>
            <a:gd name="f30" fmla="*/ f26 1 f21"/>
            <a:gd name="f31" fmla="*/ f27 1 f21"/>
            <a:gd name="f32" fmla="*/ f28 f1 1"/>
            <a:gd name="f33" fmla="*/ f32 1 f8"/>
            <a:gd name="f34" fmla="+- f31 0 f17"/>
            <a:gd name="f35" fmla="+- f30 0 f17"/>
            <a:gd name="f36" fmla="*/ f17 f29 1"/>
            <a:gd name="f37" fmla="*/ f7 f29 1"/>
            <a:gd name="f38" fmla="*/ f23 f29 1"/>
            <a:gd name="f39" fmla="*/ f31 f29 1"/>
            <a:gd name="f40" fmla="*/ f30 f29 1"/>
            <a:gd name="f41" fmla="+- f33 0 f2"/>
            <a:gd name="f42" fmla="+- f37 0 f38"/>
            <a:gd name="f43" fmla="+- f38 0 f37"/>
            <a:gd name="f44" fmla="*/ f34 f29 1"/>
            <a:gd name="f45" fmla="*/ f35 f29 1"/>
            <a:gd name="f46" fmla="cos 1 f41"/>
            <a:gd name="f47" fmla="abs f42"/>
            <a:gd name="f48" fmla="abs f43"/>
            <a:gd name="f49" fmla="?: f42 f18 f2"/>
            <a:gd name="f50" fmla="?: f42 f2 f18"/>
            <a:gd name="f51" fmla="?: f42 f3 f2"/>
            <a:gd name="f52" fmla="?: f42 f2 f3"/>
            <a:gd name="f53" fmla="+- f39 0 f44"/>
            <a:gd name="f54" fmla="?: f43 f18 f2"/>
            <a:gd name="f55" fmla="?: f43 f2 f18"/>
            <a:gd name="f56" fmla="+- f40 0 f45"/>
            <a:gd name="f57" fmla="+- f44 0 f39"/>
            <a:gd name="f58" fmla="+- f45 0 f40"/>
            <a:gd name="f59" fmla="?: f42 0 f1"/>
            <a:gd name="f60" fmla="?: f42 f1 0"/>
            <a:gd name="f61" fmla="+- 0 0 f46"/>
            <a:gd name="f62" fmla="?: f42 f52 f51"/>
            <a:gd name="f63" fmla="?: f42 f51 f52"/>
            <a:gd name="f64" fmla="?: f43 f50 f49"/>
            <a:gd name="f65" fmla="abs f53"/>
            <a:gd name="f66" fmla="?: f53 0 f1"/>
            <a:gd name="f67" fmla="?: f53 f1 0"/>
            <a:gd name="f68" fmla="?: f53 f54 f55"/>
            <a:gd name="f69" fmla="abs f56"/>
            <a:gd name="f70" fmla="abs f57"/>
            <a:gd name="f71" fmla="?: f56 f18 f2"/>
            <a:gd name="f72" fmla="?: f56 f2 f18"/>
            <a:gd name="f73" fmla="?: f56 f3 f2"/>
            <a:gd name="f74" fmla="?: f56 f2 f3"/>
            <a:gd name="f75" fmla="abs f58"/>
            <a:gd name="f76" fmla="?: f58 f18 f2"/>
            <a:gd name="f77" fmla="?: f58 f2 f18"/>
            <a:gd name="f78" fmla="?: f58 f60 f59"/>
            <a:gd name="f79" fmla="?: f58 f59 f60"/>
            <a:gd name="f80" fmla="*/ f17 f61 1"/>
            <a:gd name="f81" fmla="?: f43 f63 f62"/>
            <a:gd name="f82" fmla="?: f43 f67 f66"/>
            <a:gd name="f83" fmla="?: f43 f66 f67"/>
            <a:gd name="f84" fmla="?: f56 f74 f73"/>
            <a:gd name="f85" fmla="?: f56 f73 f74"/>
            <a:gd name="f86" fmla="?: f57 f72 f71"/>
            <a:gd name="f87" fmla="?: f42 f78 f79"/>
            <a:gd name="f88" fmla="?: f42 f76 f77"/>
            <a:gd name="f89" fmla="*/ f80 3163 1"/>
            <a:gd name="f90" fmla="?: f53 f82 f83"/>
            <a:gd name="f91" fmla="?: f57 f85 f84"/>
            <a:gd name="f92" fmla="*/ f89 1 7636"/>
            <a:gd name="f93" fmla="+- f7 f92 0"/>
            <a:gd name="f94" fmla="+- f30 0 f92"/>
            <a:gd name="f95" fmla="+- f31 0 f92"/>
            <a:gd name="f96" fmla="*/ f93 f29 1"/>
            <a:gd name="f97" fmla="*/ f94 f29 1"/>
            <a:gd name="f98" fmla="*/ f95 f29 1"/>
          </a:gdLst>
          <a:ahLst>
            <a:ahXY gdRefX="f0" minX="f7" maxX="f10">
              <a:pos x="f36" y="f37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96" t="f96" r="f97" b="f98"/>
          <a:pathLst>
            <a:path>
              <a:moveTo>
                <a:pt x="f38" y="f37"/>
              </a:moveTo>
              <a:arcTo wR="f47" hR="f48" stAng="f81" swAng="f64"/>
              <a:lnTo>
                <a:pt x="f37" y="f44"/>
              </a:lnTo>
              <a:arcTo wR="f48" hR="f65" stAng="f90" swAng="f68"/>
              <a:lnTo>
                <a:pt x="f45" y="f39"/>
              </a:lnTo>
              <a:arcTo wR="f69" hR="f70" stAng="f91" swAng="f86"/>
              <a:lnTo>
                <a:pt x="f40" y="f38"/>
              </a:lnTo>
              <a:arcTo wR="f75" hR="f47" stAng="f87" swAng="f88"/>
              <a:close/>
            </a:path>
          </a:pathLst>
        </a:custGeom>
        <a:solidFill>
          <a:srgbClr val="002060"/>
        </a:solidFill>
        <a:ln cap="flat">
          <a:noFill/>
          <a:prstDash val="solid"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US" sz="1800" b="1" i="0" u="none" strike="noStrike" kern="0" cap="none" spc="0" baseline="0">
              <a:solidFill>
                <a:srgbClr val="FFFFFF"/>
              </a:solidFill>
              <a:uFillTx/>
              <a:latin typeface="Calibri"/>
            </a:rPr>
            <a:t>62.51</a:t>
          </a:r>
        </a:p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US" sz="1050" b="1" i="0" u="none" strike="noStrike" kern="0" cap="none" spc="0" baseline="0">
              <a:solidFill>
                <a:srgbClr val="FFFFFF"/>
              </a:solidFill>
              <a:uFillTx/>
              <a:latin typeface="Calibri"/>
            </a:rPr>
            <a:t>Avg Math Score</a:t>
          </a:r>
        </a:p>
      </xdr:txBody>
    </xdr:sp>
    <xdr:clientData/>
  </xdr:oneCellAnchor>
  <xdr:oneCellAnchor>
    <xdr:from>
      <xdr:col>13</xdr:col>
      <xdr:colOff>240084</xdr:colOff>
      <xdr:row>0</xdr:row>
      <xdr:rowOff>66550</xdr:rowOff>
    </xdr:from>
    <xdr:ext cx="1628555" cy="642210"/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A920528-2B0C-C23B-3252-3E778C6C8293}"/>
            </a:ext>
          </a:extLst>
        </xdr:cNvPr>
        <xdr:cNvSpPr/>
      </xdr:nvSpPr>
      <xdr:spPr>
        <a:xfrm>
          <a:off x="8698284" y="66550"/>
          <a:ext cx="1628555" cy="642210"/>
        </a:xfrm>
        <a:custGeom>
          <a:avLst>
            <a:gd name="f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10800"/>
            <a:gd name="f11" fmla="val -2147483647"/>
            <a:gd name="f12" fmla="val 2147483647"/>
            <a:gd name="f13" fmla="abs f4"/>
            <a:gd name="f14" fmla="abs f5"/>
            <a:gd name="f15" fmla="abs f6"/>
            <a:gd name="f16" fmla="*/ f8 1 180"/>
            <a:gd name="f17" fmla="pin 0 f0 10800"/>
            <a:gd name="f18" fmla="+- 0 0 f2"/>
            <a:gd name="f19" fmla="?: f13 f4 1"/>
            <a:gd name="f20" fmla="?: f14 f5 1"/>
            <a:gd name="f21" fmla="?: f15 f6 1"/>
            <a:gd name="f22" fmla="*/ f9 f16 1"/>
            <a:gd name="f23" fmla="+- f7 f17 0"/>
            <a:gd name="f24" fmla="*/ f19 1 21600"/>
            <a:gd name="f25" fmla="*/ f20 1 21600"/>
            <a:gd name="f26" fmla="*/ 21600 f19 1"/>
            <a:gd name="f27" fmla="*/ 21600 f20 1"/>
            <a:gd name="f28" fmla="+- 0 0 f22"/>
            <a:gd name="f29" fmla="min f25 f24"/>
            <a:gd name="f30" fmla="*/ f26 1 f21"/>
            <a:gd name="f31" fmla="*/ f27 1 f21"/>
            <a:gd name="f32" fmla="*/ f28 f1 1"/>
            <a:gd name="f33" fmla="*/ f32 1 f8"/>
            <a:gd name="f34" fmla="+- f31 0 f17"/>
            <a:gd name="f35" fmla="+- f30 0 f17"/>
            <a:gd name="f36" fmla="*/ f17 f29 1"/>
            <a:gd name="f37" fmla="*/ f7 f29 1"/>
            <a:gd name="f38" fmla="*/ f23 f29 1"/>
            <a:gd name="f39" fmla="*/ f31 f29 1"/>
            <a:gd name="f40" fmla="*/ f30 f29 1"/>
            <a:gd name="f41" fmla="+- f33 0 f2"/>
            <a:gd name="f42" fmla="+- f37 0 f38"/>
            <a:gd name="f43" fmla="+- f38 0 f37"/>
            <a:gd name="f44" fmla="*/ f34 f29 1"/>
            <a:gd name="f45" fmla="*/ f35 f29 1"/>
            <a:gd name="f46" fmla="cos 1 f41"/>
            <a:gd name="f47" fmla="abs f42"/>
            <a:gd name="f48" fmla="abs f43"/>
            <a:gd name="f49" fmla="?: f42 f18 f2"/>
            <a:gd name="f50" fmla="?: f42 f2 f18"/>
            <a:gd name="f51" fmla="?: f42 f3 f2"/>
            <a:gd name="f52" fmla="?: f42 f2 f3"/>
            <a:gd name="f53" fmla="+- f39 0 f44"/>
            <a:gd name="f54" fmla="?: f43 f18 f2"/>
            <a:gd name="f55" fmla="?: f43 f2 f18"/>
            <a:gd name="f56" fmla="+- f40 0 f45"/>
            <a:gd name="f57" fmla="+- f44 0 f39"/>
            <a:gd name="f58" fmla="+- f45 0 f40"/>
            <a:gd name="f59" fmla="?: f42 0 f1"/>
            <a:gd name="f60" fmla="?: f42 f1 0"/>
            <a:gd name="f61" fmla="+- 0 0 f46"/>
            <a:gd name="f62" fmla="?: f42 f52 f51"/>
            <a:gd name="f63" fmla="?: f42 f51 f52"/>
            <a:gd name="f64" fmla="?: f43 f50 f49"/>
            <a:gd name="f65" fmla="abs f53"/>
            <a:gd name="f66" fmla="?: f53 0 f1"/>
            <a:gd name="f67" fmla="?: f53 f1 0"/>
            <a:gd name="f68" fmla="?: f53 f54 f55"/>
            <a:gd name="f69" fmla="abs f56"/>
            <a:gd name="f70" fmla="abs f57"/>
            <a:gd name="f71" fmla="?: f56 f18 f2"/>
            <a:gd name="f72" fmla="?: f56 f2 f18"/>
            <a:gd name="f73" fmla="?: f56 f3 f2"/>
            <a:gd name="f74" fmla="?: f56 f2 f3"/>
            <a:gd name="f75" fmla="abs f58"/>
            <a:gd name="f76" fmla="?: f58 f18 f2"/>
            <a:gd name="f77" fmla="?: f58 f2 f18"/>
            <a:gd name="f78" fmla="?: f58 f60 f59"/>
            <a:gd name="f79" fmla="?: f58 f59 f60"/>
            <a:gd name="f80" fmla="*/ f17 f61 1"/>
            <a:gd name="f81" fmla="?: f43 f63 f62"/>
            <a:gd name="f82" fmla="?: f43 f67 f66"/>
            <a:gd name="f83" fmla="?: f43 f66 f67"/>
            <a:gd name="f84" fmla="?: f56 f74 f73"/>
            <a:gd name="f85" fmla="?: f56 f73 f74"/>
            <a:gd name="f86" fmla="?: f57 f72 f71"/>
            <a:gd name="f87" fmla="?: f42 f78 f79"/>
            <a:gd name="f88" fmla="?: f42 f76 f77"/>
            <a:gd name="f89" fmla="*/ f80 3163 1"/>
            <a:gd name="f90" fmla="?: f53 f82 f83"/>
            <a:gd name="f91" fmla="?: f57 f85 f84"/>
            <a:gd name="f92" fmla="*/ f89 1 7636"/>
            <a:gd name="f93" fmla="+- f7 f92 0"/>
            <a:gd name="f94" fmla="+- f30 0 f92"/>
            <a:gd name="f95" fmla="+- f31 0 f92"/>
            <a:gd name="f96" fmla="*/ f93 f29 1"/>
            <a:gd name="f97" fmla="*/ f94 f29 1"/>
            <a:gd name="f98" fmla="*/ f95 f29 1"/>
          </a:gdLst>
          <a:ahLst>
            <a:ahXY gdRefX="f0" minX="f7" maxX="f10">
              <a:pos x="f36" y="f37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96" t="f96" r="f97" b="f98"/>
          <a:pathLst>
            <a:path>
              <a:moveTo>
                <a:pt x="f38" y="f37"/>
              </a:moveTo>
              <a:arcTo wR="f47" hR="f48" stAng="f81" swAng="f64"/>
              <a:lnTo>
                <a:pt x="f37" y="f44"/>
              </a:lnTo>
              <a:arcTo wR="f48" hR="f65" stAng="f90" swAng="f68"/>
              <a:lnTo>
                <a:pt x="f45" y="f39"/>
              </a:lnTo>
              <a:arcTo wR="f69" hR="f70" stAng="f91" swAng="f86"/>
              <a:lnTo>
                <a:pt x="f40" y="f38"/>
              </a:lnTo>
              <a:arcTo wR="f75" hR="f47" stAng="f87" swAng="f88"/>
              <a:close/>
            </a:path>
          </a:pathLst>
        </a:custGeom>
        <a:solidFill>
          <a:srgbClr val="002060"/>
        </a:solidFill>
        <a:ln cap="flat">
          <a:noFill/>
          <a:prstDash val="solid"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US" sz="1800" b="1" i="0" u="none" strike="noStrike" kern="0" cap="none" spc="0" baseline="0">
              <a:solidFill>
                <a:srgbClr val="FFFFFF"/>
              </a:solidFill>
              <a:uFillTx/>
              <a:latin typeface="Calibri"/>
            </a:rPr>
            <a:t>60.49</a:t>
          </a:r>
        </a:p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US" sz="1000" b="1" i="0" u="none" strike="noStrike" kern="0" cap="none" spc="0" baseline="0">
              <a:solidFill>
                <a:srgbClr val="FFFFFF"/>
              </a:solidFill>
              <a:uFillTx/>
              <a:latin typeface="Calibri"/>
            </a:rPr>
            <a:t>Avg Reading Score</a:t>
          </a:r>
        </a:p>
      </xdr:txBody>
    </xdr:sp>
    <xdr:clientData/>
  </xdr:oneCellAnchor>
  <xdr:oneCellAnchor>
    <xdr:from>
      <xdr:col>10</xdr:col>
      <xdr:colOff>313959</xdr:colOff>
      <xdr:row>0</xdr:row>
      <xdr:rowOff>92208</xdr:rowOff>
    </xdr:from>
    <xdr:ext cx="1736162" cy="620566"/>
    <xdr:sp macro="" textlink="">
      <xdr:nvSpPr>
        <xdr:cNvPr id="5" name="Rectangle: Rounded Corners 6">
          <a:extLst>
            <a:ext uri="{FF2B5EF4-FFF2-40B4-BE49-F238E27FC236}">
              <a16:creationId xmlns:a16="http://schemas.microsoft.com/office/drawing/2014/main" id="{2B5AC592-4369-807D-68C2-AF69879EB930}"/>
            </a:ext>
          </a:extLst>
        </xdr:cNvPr>
        <xdr:cNvSpPr/>
      </xdr:nvSpPr>
      <xdr:spPr>
        <a:xfrm>
          <a:off x="6943359" y="92208"/>
          <a:ext cx="1736162" cy="620566"/>
        </a:xfrm>
        <a:custGeom>
          <a:avLst>
            <a:gd name="f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10800"/>
            <a:gd name="f11" fmla="val -2147483647"/>
            <a:gd name="f12" fmla="val 2147483647"/>
            <a:gd name="f13" fmla="abs f4"/>
            <a:gd name="f14" fmla="abs f5"/>
            <a:gd name="f15" fmla="abs f6"/>
            <a:gd name="f16" fmla="*/ f8 1 180"/>
            <a:gd name="f17" fmla="pin 0 f0 10800"/>
            <a:gd name="f18" fmla="+- 0 0 f2"/>
            <a:gd name="f19" fmla="?: f13 f4 1"/>
            <a:gd name="f20" fmla="?: f14 f5 1"/>
            <a:gd name="f21" fmla="?: f15 f6 1"/>
            <a:gd name="f22" fmla="*/ f9 f16 1"/>
            <a:gd name="f23" fmla="+- f7 f17 0"/>
            <a:gd name="f24" fmla="*/ f19 1 21600"/>
            <a:gd name="f25" fmla="*/ f20 1 21600"/>
            <a:gd name="f26" fmla="*/ 21600 f19 1"/>
            <a:gd name="f27" fmla="*/ 21600 f20 1"/>
            <a:gd name="f28" fmla="+- 0 0 f22"/>
            <a:gd name="f29" fmla="min f25 f24"/>
            <a:gd name="f30" fmla="*/ f26 1 f21"/>
            <a:gd name="f31" fmla="*/ f27 1 f21"/>
            <a:gd name="f32" fmla="*/ f28 f1 1"/>
            <a:gd name="f33" fmla="*/ f32 1 f8"/>
            <a:gd name="f34" fmla="+- f31 0 f17"/>
            <a:gd name="f35" fmla="+- f30 0 f17"/>
            <a:gd name="f36" fmla="*/ f17 f29 1"/>
            <a:gd name="f37" fmla="*/ f7 f29 1"/>
            <a:gd name="f38" fmla="*/ f23 f29 1"/>
            <a:gd name="f39" fmla="*/ f31 f29 1"/>
            <a:gd name="f40" fmla="*/ f30 f29 1"/>
            <a:gd name="f41" fmla="+- f33 0 f2"/>
            <a:gd name="f42" fmla="+- f37 0 f38"/>
            <a:gd name="f43" fmla="+- f38 0 f37"/>
            <a:gd name="f44" fmla="*/ f34 f29 1"/>
            <a:gd name="f45" fmla="*/ f35 f29 1"/>
            <a:gd name="f46" fmla="cos 1 f41"/>
            <a:gd name="f47" fmla="abs f42"/>
            <a:gd name="f48" fmla="abs f43"/>
            <a:gd name="f49" fmla="?: f42 f18 f2"/>
            <a:gd name="f50" fmla="?: f42 f2 f18"/>
            <a:gd name="f51" fmla="?: f42 f3 f2"/>
            <a:gd name="f52" fmla="?: f42 f2 f3"/>
            <a:gd name="f53" fmla="+- f39 0 f44"/>
            <a:gd name="f54" fmla="?: f43 f18 f2"/>
            <a:gd name="f55" fmla="?: f43 f2 f18"/>
            <a:gd name="f56" fmla="+- f40 0 f45"/>
            <a:gd name="f57" fmla="+- f44 0 f39"/>
            <a:gd name="f58" fmla="+- f45 0 f40"/>
            <a:gd name="f59" fmla="?: f42 0 f1"/>
            <a:gd name="f60" fmla="?: f42 f1 0"/>
            <a:gd name="f61" fmla="+- 0 0 f46"/>
            <a:gd name="f62" fmla="?: f42 f52 f51"/>
            <a:gd name="f63" fmla="?: f42 f51 f52"/>
            <a:gd name="f64" fmla="?: f43 f50 f49"/>
            <a:gd name="f65" fmla="abs f53"/>
            <a:gd name="f66" fmla="?: f53 0 f1"/>
            <a:gd name="f67" fmla="?: f53 f1 0"/>
            <a:gd name="f68" fmla="?: f53 f54 f55"/>
            <a:gd name="f69" fmla="abs f56"/>
            <a:gd name="f70" fmla="abs f57"/>
            <a:gd name="f71" fmla="?: f56 f18 f2"/>
            <a:gd name="f72" fmla="?: f56 f2 f18"/>
            <a:gd name="f73" fmla="?: f56 f3 f2"/>
            <a:gd name="f74" fmla="?: f56 f2 f3"/>
            <a:gd name="f75" fmla="abs f58"/>
            <a:gd name="f76" fmla="?: f58 f18 f2"/>
            <a:gd name="f77" fmla="?: f58 f2 f18"/>
            <a:gd name="f78" fmla="?: f58 f60 f59"/>
            <a:gd name="f79" fmla="?: f58 f59 f60"/>
            <a:gd name="f80" fmla="*/ f17 f61 1"/>
            <a:gd name="f81" fmla="?: f43 f63 f62"/>
            <a:gd name="f82" fmla="?: f43 f67 f66"/>
            <a:gd name="f83" fmla="?: f43 f66 f67"/>
            <a:gd name="f84" fmla="?: f56 f74 f73"/>
            <a:gd name="f85" fmla="?: f56 f73 f74"/>
            <a:gd name="f86" fmla="?: f57 f72 f71"/>
            <a:gd name="f87" fmla="?: f42 f78 f79"/>
            <a:gd name="f88" fmla="?: f42 f76 f77"/>
            <a:gd name="f89" fmla="*/ f80 3163 1"/>
            <a:gd name="f90" fmla="?: f53 f82 f83"/>
            <a:gd name="f91" fmla="?: f57 f85 f84"/>
            <a:gd name="f92" fmla="*/ f89 1 7636"/>
            <a:gd name="f93" fmla="+- f7 f92 0"/>
            <a:gd name="f94" fmla="+- f30 0 f92"/>
            <a:gd name="f95" fmla="+- f31 0 f92"/>
            <a:gd name="f96" fmla="*/ f93 f29 1"/>
            <a:gd name="f97" fmla="*/ f94 f29 1"/>
            <a:gd name="f98" fmla="*/ f95 f29 1"/>
          </a:gdLst>
          <a:ahLst>
            <a:ahXY gdRefX="f0" minX="f7" maxX="f10">
              <a:pos x="f36" y="f37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96" t="f96" r="f97" b="f98"/>
          <a:pathLst>
            <a:path>
              <a:moveTo>
                <a:pt x="f38" y="f37"/>
              </a:moveTo>
              <a:arcTo wR="f47" hR="f48" stAng="f81" swAng="f64"/>
              <a:lnTo>
                <a:pt x="f37" y="f44"/>
              </a:lnTo>
              <a:arcTo wR="f48" hR="f65" stAng="f90" swAng="f68"/>
              <a:lnTo>
                <a:pt x="f45" y="f39"/>
              </a:lnTo>
              <a:arcTo wR="f69" hR="f70" stAng="f91" swAng="f86"/>
              <a:lnTo>
                <a:pt x="f40" y="f38"/>
              </a:lnTo>
              <a:arcTo wR="f75" hR="f47" stAng="f87" swAng="f88"/>
              <a:close/>
            </a:path>
          </a:pathLst>
        </a:custGeom>
        <a:solidFill>
          <a:srgbClr val="002060"/>
        </a:solidFill>
        <a:ln cap="flat">
          <a:noFill/>
          <a:prstDash val="solid"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US" sz="1800" b="1" i="0" u="none" strike="noStrike" kern="0" cap="none" spc="0" baseline="0">
              <a:solidFill>
                <a:srgbClr val="FFFFFF"/>
              </a:solidFill>
              <a:uFillTx/>
              <a:latin typeface="Calibri"/>
            </a:rPr>
            <a:t>60.53</a:t>
          </a:r>
        </a:p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US" sz="1000" b="1" i="0" u="none" strike="noStrike" kern="0" cap="none" spc="0" baseline="0">
              <a:solidFill>
                <a:srgbClr val="FFFFFF"/>
              </a:solidFill>
              <a:uFillTx/>
              <a:latin typeface="Calibri"/>
            </a:rPr>
            <a:t>Avg Writing Score</a:t>
          </a:r>
        </a:p>
      </xdr:txBody>
    </xdr:sp>
    <xdr:clientData/>
  </xdr:oneCellAnchor>
  <xdr:oneCellAnchor>
    <xdr:from>
      <xdr:col>7</xdr:col>
      <xdr:colOff>410785</xdr:colOff>
      <xdr:row>0</xdr:row>
      <xdr:rowOff>64940</xdr:rowOff>
    </xdr:from>
    <xdr:ext cx="1705200" cy="634995"/>
    <xdr:sp macro="" textlink="">
      <xdr:nvSpPr>
        <xdr:cNvPr id="4" name="Rectangle: Rounded Corners 7">
          <a:extLst>
            <a:ext uri="{FF2B5EF4-FFF2-40B4-BE49-F238E27FC236}">
              <a16:creationId xmlns:a16="http://schemas.microsoft.com/office/drawing/2014/main" id="{AB3B1BDA-9EDC-3FE2-573C-B0F237B530A6}"/>
            </a:ext>
          </a:extLst>
        </xdr:cNvPr>
        <xdr:cNvSpPr/>
      </xdr:nvSpPr>
      <xdr:spPr>
        <a:xfrm>
          <a:off x="5211385" y="64940"/>
          <a:ext cx="1705200" cy="634995"/>
        </a:xfrm>
        <a:custGeom>
          <a:avLst>
            <a:gd name="f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10800"/>
            <a:gd name="f11" fmla="val -2147483647"/>
            <a:gd name="f12" fmla="val 2147483647"/>
            <a:gd name="f13" fmla="abs f4"/>
            <a:gd name="f14" fmla="abs f5"/>
            <a:gd name="f15" fmla="abs f6"/>
            <a:gd name="f16" fmla="*/ f8 1 180"/>
            <a:gd name="f17" fmla="pin 0 f0 10800"/>
            <a:gd name="f18" fmla="+- 0 0 f2"/>
            <a:gd name="f19" fmla="?: f13 f4 1"/>
            <a:gd name="f20" fmla="?: f14 f5 1"/>
            <a:gd name="f21" fmla="?: f15 f6 1"/>
            <a:gd name="f22" fmla="*/ f9 f16 1"/>
            <a:gd name="f23" fmla="+- f7 f17 0"/>
            <a:gd name="f24" fmla="*/ f19 1 21600"/>
            <a:gd name="f25" fmla="*/ f20 1 21600"/>
            <a:gd name="f26" fmla="*/ 21600 f19 1"/>
            <a:gd name="f27" fmla="*/ 21600 f20 1"/>
            <a:gd name="f28" fmla="+- 0 0 f22"/>
            <a:gd name="f29" fmla="min f25 f24"/>
            <a:gd name="f30" fmla="*/ f26 1 f21"/>
            <a:gd name="f31" fmla="*/ f27 1 f21"/>
            <a:gd name="f32" fmla="*/ f28 f1 1"/>
            <a:gd name="f33" fmla="*/ f32 1 f8"/>
            <a:gd name="f34" fmla="+- f31 0 f17"/>
            <a:gd name="f35" fmla="+- f30 0 f17"/>
            <a:gd name="f36" fmla="*/ f17 f29 1"/>
            <a:gd name="f37" fmla="*/ f7 f29 1"/>
            <a:gd name="f38" fmla="*/ f23 f29 1"/>
            <a:gd name="f39" fmla="*/ f31 f29 1"/>
            <a:gd name="f40" fmla="*/ f30 f29 1"/>
            <a:gd name="f41" fmla="+- f33 0 f2"/>
            <a:gd name="f42" fmla="+- f37 0 f38"/>
            <a:gd name="f43" fmla="+- f38 0 f37"/>
            <a:gd name="f44" fmla="*/ f34 f29 1"/>
            <a:gd name="f45" fmla="*/ f35 f29 1"/>
            <a:gd name="f46" fmla="cos 1 f41"/>
            <a:gd name="f47" fmla="abs f42"/>
            <a:gd name="f48" fmla="abs f43"/>
            <a:gd name="f49" fmla="?: f42 f18 f2"/>
            <a:gd name="f50" fmla="?: f42 f2 f18"/>
            <a:gd name="f51" fmla="?: f42 f3 f2"/>
            <a:gd name="f52" fmla="?: f42 f2 f3"/>
            <a:gd name="f53" fmla="+- f39 0 f44"/>
            <a:gd name="f54" fmla="?: f43 f18 f2"/>
            <a:gd name="f55" fmla="?: f43 f2 f18"/>
            <a:gd name="f56" fmla="+- f40 0 f45"/>
            <a:gd name="f57" fmla="+- f44 0 f39"/>
            <a:gd name="f58" fmla="+- f45 0 f40"/>
            <a:gd name="f59" fmla="?: f42 0 f1"/>
            <a:gd name="f60" fmla="?: f42 f1 0"/>
            <a:gd name="f61" fmla="+- 0 0 f46"/>
            <a:gd name="f62" fmla="?: f42 f52 f51"/>
            <a:gd name="f63" fmla="?: f42 f51 f52"/>
            <a:gd name="f64" fmla="?: f43 f50 f49"/>
            <a:gd name="f65" fmla="abs f53"/>
            <a:gd name="f66" fmla="?: f53 0 f1"/>
            <a:gd name="f67" fmla="?: f53 f1 0"/>
            <a:gd name="f68" fmla="?: f53 f54 f55"/>
            <a:gd name="f69" fmla="abs f56"/>
            <a:gd name="f70" fmla="abs f57"/>
            <a:gd name="f71" fmla="?: f56 f18 f2"/>
            <a:gd name="f72" fmla="?: f56 f2 f18"/>
            <a:gd name="f73" fmla="?: f56 f3 f2"/>
            <a:gd name="f74" fmla="?: f56 f2 f3"/>
            <a:gd name="f75" fmla="abs f58"/>
            <a:gd name="f76" fmla="?: f58 f18 f2"/>
            <a:gd name="f77" fmla="?: f58 f2 f18"/>
            <a:gd name="f78" fmla="?: f58 f60 f59"/>
            <a:gd name="f79" fmla="?: f58 f59 f60"/>
            <a:gd name="f80" fmla="*/ f17 f61 1"/>
            <a:gd name="f81" fmla="?: f43 f63 f62"/>
            <a:gd name="f82" fmla="?: f43 f67 f66"/>
            <a:gd name="f83" fmla="?: f43 f66 f67"/>
            <a:gd name="f84" fmla="?: f56 f74 f73"/>
            <a:gd name="f85" fmla="?: f56 f73 f74"/>
            <a:gd name="f86" fmla="?: f57 f72 f71"/>
            <a:gd name="f87" fmla="?: f42 f78 f79"/>
            <a:gd name="f88" fmla="?: f42 f76 f77"/>
            <a:gd name="f89" fmla="*/ f80 3163 1"/>
            <a:gd name="f90" fmla="?: f53 f82 f83"/>
            <a:gd name="f91" fmla="?: f57 f85 f84"/>
            <a:gd name="f92" fmla="*/ f89 1 7636"/>
            <a:gd name="f93" fmla="+- f7 f92 0"/>
            <a:gd name="f94" fmla="+- f30 0 f92"/>
            <a:gd name="f95" fmla="+- f31 0 f92"/>
            <a:gd name="f96" fmla="*/ f93 f29 1"/>
            <a:gd name="f97" fmla="*/ f94 f29 1"/>
            <a:gd name="f98" fmla="*/ f95 f29 1"/>
          </a:gdLst>
          <a:ahLst>
            <a:ahXY gdRefX="f0" minX="f7" maxX="f10">
              <a:pos x="f36" y="f37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96" t="f96" r="f97" b="f98"/>
          <a:pathLst>
            <a:path>
              <a:moveTo>
                <a:pt x="f38" y="f37"/>
              </a:moveTo>
              <a:arcTo wR="f47" hR="f48" stAng="f81" swAng="f64"/>
              <a:lnTo>
                <a:pt x="f37" y="f44"/>
              </a:lnTo>
              <a:arcTo wR="f48" hR="f65" stAng="f90" swAng="f68"/>
              <a:lnTo>
                <a:pt x="f45" y="f39"/>
              </a:lnTo>
              <a:arcTo wR="f69" hR="f70" stAng="f91" swAng="f86"/>
              <a:lnTo>
                <a:pt x="f40" y="f38"/>
              </a:lnTo>
              <a:arcTo wR="f75" hR="f47" stAng="f87" swAng="f88"/>
              <a:close/>
            </a:path>
          </a:pathLst>
        </a:custGeom>
        <a:solidFill>
          <a:srgbClr val="002060"/>
        </a:solidFill>
        <a:ln cap="flat">
          <a:noFill/>
          <a:prstDash val="solid"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US" sz="1800" b="1" i="0" u="none" strike="noStrike" kern="0" cap="none" spc="0" baseline="0">
              <a:solidFill>
                <a:srgbClr val="FFFFFF"/>
              </a:solidFill>
              <a:uFillTx/>
              <a:latin typeface="Calibri"/>
            </a:rPr>
            <a:t>61.18</a:t>
          </a:r>
        </a:p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US" sz="1050" b="1" i="0" u="none" strike="noStrike" kern="0" cap="none" spc="0" baseline="0">
              <a:solidFill>
                <a:srgbClr val="FFFFFF"/>
              </a:solidFill>
              <a:uFillTx/>
              <a:latin typeface="Calibri"/>
            </a:rPr>
            <a:t>Avg</a:t>
          </a:r>
          <a:r>
            <a:rPr lang="en-US" sz="1050" b="0" i="0" u="none" strike="noStrike" kern="0" cap="none" spc="0" baseline="0">
              <a:solidFill>
                <a:srgbClr val="FFFFFF"/>
              </a:solidFill>
              <a:uFillTx/>
              <a:latin typeface="Calibri"/>
            </a:rPr>
            <a:t>  </a:t>
          </a:r>
          <a:r>
            <a:rPr lang="en-US" sz="1050" b="1" i="0" u="none" strike="noStrike" kern="0" cap="none" spc="0" baseline="0">
              <a:solidFill>
                <a:srgbClr val="FFFFFF"/>
              </a:solidFill>
              <a:uFillTx/>
              <a:latin typeface="Calibri"/>
            </a:rPr>
            <a:t>Score</a:t>
          </a:r>
        </a:p>
      </xdr:txBody>
    </xdr:sp>
    <xdr:clientData/>
  </xdr:oneCellAnchor>
  <xdr:oneCellAnchor>
    <xdr:from>
      <xdr:col>0</xdr:col>
      <xdr:colOff>107950</xdr:colOff>
      <xdr:row>4</xdr:row>
      <xdr:rowOff>101600</xdr:rowOff>
    </xdr:from>
    <xdr:ext cx="5501217" cy="2895600"/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E8D4C251-985F-E4C9-709A-09841688D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243742</xdr:colOff>
      <xdr:row>4</xdr:row>
      <xdr:rowOff>21643</xdr:rowOff>
    </xdr:from>
    <xdr:ext cx="4455258" cy="2956507"/>
    <xdr:graphicFrame macro="">
      <xdr:nvGraphicFramePr>
        <xdr:cNvPr id="9" name="Chart 10">
          <a:extLst>
            <a:ext uri="{FF2B5EF4-FFF2-40B4-BE49-F238E27FC236}">
              <a16:creationId xmlns:a16="http://schemas.microsoft.com/office/drawing/2014/main" id="{49BABB3C-024F-322D-659D-AF70AAAE0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532948</xdr:colOff>
      <xdr:row>4</xdr:row>
      <xdr:rowOff>8951</xdr:rowOff>
    </xdr:from>
    <xdr:ext cx="3245302" cy="2931099"/>
    <xdr:graphicFrame macro="">
      <xdr:nvGraphicFramePr>
        <xdr:cNvPr id="10" name="Chart 12">
          <a:extLst>
            <a:ext uri="{FF2B5EF4-FFF2-40B4-BE49-F238E27FC236}">
              <a16:creationId xmlns:a16="http://schemas.microsoft.com/office/drawing/2014/main" id="{1587DCC6-E59E-D7B6-386F-1092FB6C9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323850</xdr:colOff>
      <xdr:row>20</xdr:row>
      <xdr:rowOff>76200</xdr:rowOff>
    </xdr:from>
    <xdr:ext cx="4724401" cy="2362200"/>
    <xdr:graphicFrame macro="">
      <xdr:nvGraphicFramePr>
        <xdr:cNvPr id="13" name="Chart 14">
          <a:extLst>
            <a:ext uri="{FF2B5EF4-FFF2-40B4-BE49-F238E27FC236}">
              <a16:creationId xmlns:a16="http://schemas.microsoft.com/office/drawing/2014/main" id="{A3F11378-DB7C-2654-1C77-F6A28B7F7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95250</xdr:colOff>
      <xdr:row>20</xdr:row>
      <xdr:rowOff>120651</xdr:rowOff>
    </xdr:from>
    <xdr:ext cx="5511800" cy="2322346"/>
    <xdr:graphicFrame macro="">
      <xdr:nvGraphicFramePr>
        <xdr:cNvPr id="11" name="Chart 16">
          <a:extLst>
            <a:ext uri="{FF2B5EF4-FFF2-40B4-BE49-F238E27FC236}">
              <a16:creationId xmlns:a16="http://schemas.microsoft.com/office/drawing/2014/main" id="{8B4DF512-DF57-504D-42B7-CF432A537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8</xdr:col>
      <xdr:colOff>241300</xdr:colOff>
      <xdr:row>20</xdr:row>
      <xdr:rowOff>95250</xdr:rowOff>
    </xdr:from>
    <xdr:ext cx="3073400" cy="2328930"/>
    <xdr:graphicFrame macro="">
      <xdr:nvGraphicFramePr>
        <xdr:cNvPr id="12" name="Chart 18">
          <a:extLst>
            <a:ext uri="{FF2B5EF4-FFF2-40B4-BE49-F238E27FC236}">
              <a16:creationId xmlns:a16="http://schemas.microsoft.com/office/drawing/2014/main" id="{D38E93B4-FBB5-5D07-CAE5-BF5B19631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93058</xdr:colOff>
      <xdr:row>0</xdr:row>
      <xdr:rowOff>20793</xdr:rowOff>
    </xdr:from>
    <xdr:ext cx="3543153" cy="724405"/>
    <xdr:sp macro="" textlink="">
      <xdr:nvSpPr>
        <xdr:cNvPr id="2" name="Rectangle: Rounded Corners 19">
          <a:extLst>
            <a:ext uri="{FF2B5EF4-FFF2-40B4-BE49-F238E27FC236}">
              <a16:creationId xmlns:a16="http://schemas.microsoft.com/office/drawing/2014/main" id="{A07489BD-268D-C80B-6BBE-F1C0DA327686}"/>
            </a:ext>
          </a:extLst>
        </xdr:cNvPr>
        <xdr:cNvSpPr/>
      </xdr:nvSpPr>
      <xdr:spPr>
        <a:xfrm>
          <a:off x="93058" y="20793"/>
          <a:ext cx="3543153" cy="724405"/>
        </a:xfrm>
        <a:custGeom>
          <a:avLst>
            <a:gd name="f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10800"/>
            <a:gd name="f11" fmla="val -2147483647"/>
            <a:gd name="f12" fmla="val 2147483647"/>
            <a:gd name="f13" fmla="abs f4"/>
            <a:gd name="f14" fmla="abs f5"/>
            <a:gd name="f15" fmla="abs f6"/>
            <a:gd name="f16" fmla="*/ f8 1 180"/>
            <a:gd name="f17" fmla="pin 0 f0 10800"/>
            <a:gd name="f18" fmla="+- 0 0 f2"/>
            <a:gd name="f19" fmla="?: f13 f4 1"/>
            <a:gd name="f20" fmla="?: f14 f5 1"/>
            <a:gd name="f21" fmla="?: f15 f6 1"/>
            <a:gd name="f22" fmla="*/ f9 f16 1"/>
            <a:gd name="f23" fmla="+- f7 f17 0"/>
            <a:gd name="f24" fmla="*/ f19 1 21600"/>
            <a:gd name="f25" fmla="*/ f20 1 21600"/>
            <a:gd name="f26" fmla="*/ 21600 f19 1"/>
            <a:gd name="f27" fmla="*/ 21600 f20 1"/>
            <a:gd name="f28" fmla="+- 0 0 f22"/>
            <a:gd name="f29" fmla="min f25 f24"/>
            <a:gd name="f30" fmla="*/ f26 1 f21"/>
            <a:gd name="f31" fmla="*/ f27 1 f21"/>
            <a:gd name="f32" fmla="*/ f28 f1 1"/>
            <a:gd name="f33" fmla="*/ f32 1 f8"/>
            <a:gd name="f34" fmla="+- f31 0 f17"/>
            <a:gd name="f35" fmla="+- f30 0 f17"/>
            <a:gd name="f36" fmla="*/ f17 f29 1"/>
            <a:gd name="f37" fmla="*/ f7 f29 1"/>
            <a:gd name="f38" fmla="*/ f23 f29 1"/>
            <a:gd name="f39" fmla="*/ f31 f29 1"/>
            <a:gd name="f40" fmla="*/ f30 f29 1"/>
            <a:gd name="f41" fmla="+- f33 0 f2"/>
            <a:gd name="f42" fmla="+- f37 0 f38"/>
            <a:gd name="f43" fmla="+- f38 0 f37"/>
            <a:gd name="f44" fmla="*/ f34 f29 1"/>
            <a:gd name="f45" fmla="*/ f35 f29 1"/>
            <a:gd name="f46" fmla="cos 1 f41"/>
            <a:gd name="f47" fmla="abs f42"/>
            <a:gd name="f48" fmla="abs f43"/>
            <a:gd name="f49" fmla="?: f42 f18 f2"/>
            <a:gd name="f50" fmla="?: f42 f2 f18"/>
            <a:gd name="f51" fmla="?: f42 f3 f2"/>
            <a:gd name="f52" fmla="?: f42 f2 f3"/>
            <a:gd name="f53" fmla="+- f39 0 f44"/>
            <a:gd name="f54" fmla="?: f43 f18 f2"/>
            <a:gd name="f55" fmla="?: f43 f2 f18"/>
            <a:gd name="f56" fmla="+- f40 0 f45"/>
            <a:gd name="f57" fmla="+- f44 0 f39"/>
            <a:gd name="f58" fmla="+- f45 0 f40"/>
            <a:gd name="f59" fmla="?: f42 0 f1"/>
            <a:gd name="f60" fmla="?: f42 f1 0"/>
            <a:gd name="f61" fmla="+- 0 0 f46"/>
            <a:gd name="f62" fmla="?: f42 f52 f51"/>
            <a:gd name="f63" fmla="?: f42 f51 f52"/>
            <a:gd name="f64" fmla="?: f43 f50 f49"/>
            <a:gd name="f65" fmla="abs f53"/>
            <a:gd name="f66" fmla="?: f53 0 f1"/>
            <a:gd name="f67" fmla="?: f53 f1 0"/>
            <a:gd name="f68" fmla="?: f53 f54 f55"/>
            <a:gd name="f69" fmla="abs f56"/>
            <a:gd name="f70" fmla="abs f57"/>
            <a:gd name="f71" fmla="?: f56 f18 f2"/>
            <a:gd name="f72" fmla="?: f56 f2 f18"/>
            <a:gd name="f73" fmla="?: f56 f3 f2"/>
            <a:gd name="f74" fmla="?: f56 f2 f3"/>
            <a:gd name="f75" fmla="abs f58"/>
            <a:gd name="f76" fmla="?: f58 f18 f2"/>
            <a:gd name="f77" fmla="?: f58 f2 f18"/>
            <a:gd name="f78" fmla="?: f58 f60 f59"/>
            <a:gd name="f79" fmla="?: f58 f59 f60"/>
            <a:gd name="f80" fmla="*/ f17 f61 1"/>
            <a:gd name="f81" fmla="?: f43 f63 f62"/>
            <a:gd name="f82" fmla="?: f43 f67 f66"/>
            <a:gd name="f83" fmla="?: f43 f66 f67"/>
            <a:gd name="f84" fmla="?: f56 f74 f73"/>
            <a:gd name="f85" fmla="?: f56 f73 f74"/>
            <a:gd name="f86" fmla="?: f57 f72 f71"/>
            <a:gd name="f87" fmla="?: f42 f78 f79"/>
            <a:gd name="f88" fmla="?: f42 f76 f77"/>
            <a:gd name="f89" fmla="*/ f80 3163 1"/>
            <a:gd name="f90" fmla="?: f53 f82 f83"/>
            <a:gd name="f91" fmla="?: f57 f85 f84"/>
            <a:gd name="f92" fmla="*/ f89 1 7636"/>
            <a:gd name="f93" fmla="+- f7 f92 0"/>
            <a:gd name="f94" fmla="+- f30 0 f92"/>
            <a:gd name="f95" fmla="+- f31 0 f92"/>
            <a:gd name="f96" fmla="*/ f93 f29 1"/>
            <a:gd name="f97" fmla="*/ f94 f29 1"/>
            <a:gd name="f98" fmla="*/ f95 f29 1"/>
          </a:gdLst>
          <a:ahLst>
            <a:ahXY gdRefX="f0" minX="f7" maxX="f10">
              <a:pos x="f36" y="f37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96" t="f96" r="f97" b="f98"/>
          <a:pathLst>
            <a:path>
              <a:moveTo>
                <a:pt x="f38" y="f37"/>
              </a:moveTo>
              <a:arcTo wR="f47" hR="f48" stAng="f81" swAng="f64"/>
              <a:lnTo>
                <a:pt x="f37" y="f44"/>
              </a:lnTo>
              <a:arcTo wR="f48" hR="f65" stAng="f90" swAng="f68"/>
              <a:lnTo>
                <a:pt x="f45" y="f39"/>
              </a:lnTo>
              <a:arcTo wR="f69" hR="f70" stAng="f91" swAng="f86"/>
              <a:lnTo>
                <a:pt x="f40" y="f38"/>
              </a:lnTo>
              <a:arcTo wR="f75" hR="f47" stAng="f87" swAng="f88"/>
              <a:close/>
            </a:path>
          </a:pathLst>
        </a:custGeom>
        <a:solidFill>
          <a:srgbClr val="FFFFFF"/>
        </a:solidFill>
        <a:ln cap="flat">
          <a:noFill/>
          <a:prstDash val="solid"/>
        </a:ln>
        <a:effectLst>
          <a:outerShdw dist="38103" dir="5400000" algn="tl">
            <a:srgbClr val="002060">
              <a:alpha val="40000"/>
            </a:srgbClr>
          </a:outerShdw>
        </a:effectLst>
      </xdr:spPr>
      <xdr:txBody>
        <a:bodyPr vert="horz" wrap="square" lIns="91440" tIns="45720" rIns="91440" bIns="45720" anchor="t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US" sz="1600" b="0" i="0" u="none" strike="noStrike" kern="0" cap="none" spc="0" baseline="0">
              <a:solidFill>
                <a:srgbClr val="002060"/>
              </a:solidFill>
              <a:uFillTx/>
              <a:latin typeface="Segoe UI Black" pitchFamily="34"/>
              <a:ea typeface="Segoe UI Black" pitchFamily="34"/>
            </a:rPr>
            <a:t>ACADEMIC  PERFORMANCE ANALYSIS</a:t>
          </a: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2BEA4537-ACB8-4A0B-860C-268E6C1E43FB}">
  <cacheSource type="worksheet">
    <worksheetSource ref="A1:I101" sheet="Sheet1"/>
  </cacheSource>
  <cacheFields count="9">
    <cacheField name="Student ID" numFmtId="0">
      <sharedItems containsSemiMixedTypes="0" containsNonDate="0" containsString="0"/>
    </cacheField>
    <cacheField name="Average Score" numFmtId="0">
      <sharedItems containsSemiMixedTypes="0" containsNonDate="0" containsString="0"/>
    </cacheField>
    <cacheField name="Gender" numFmtId="0">
      <sharedItems containsSemiMixedTypes="0" containsNonDate="0" containsString="0"/>
    </cacheField>
    <cacheField name="Ethnicity" numFmtId="0">
      <sharedItems containsSemiMixedTypes="0" containsNonDate="0" containsString="0"/>
    </cacheField>
    <cacheField name="Parental Education" numFmtId="0">
      <sharedItems containsSemiMixedTypes="0" containsNonDate="0" containsString="0"/>
    </cacheField>
    <cacheField name="Test Preparation" numFmtId="0">
      <sharedItems containsSemiMixedTypes="0" containsNonDate="0" containsString="0"/>
    </cacheField>
    <cacheField name="Math Score" numFmtId="0">
      <sharedItems containsSemiMixedTypes="0" containsNonDate="0" containsString="0"/>
    </cacheField>
    <cacheField name="Reading Score" numFmtId="0">
      <sharedItems containsSemiMixedTypes="0" containsNonDate="0" containsString="0"/>
    </cacheField>
    <cacheField name="Writing Score" numFmtId="0">
      <sharedItems containsSemiMixedTypes="0" containsString="0" containsNumber="1" minValue="0" maxValue="0"/>
      <fieldGroup base="8">
        <rangePr autoStart="0" autoEnd="0" startNum="30" endNum="90" groupInterval="10"/>
        <groupItems count="8">
          <s v="&lt;30"/>
          <s v="30-40"/>
          <s v="40-50"/>
          <s v="50-60"/>
          <s v="60-70"/>
          <s v="70-80"/>
          <s v="80-90"/>
          <s v="&gt;9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A8B30BB2-84D1-4376-A4C7-461F2DD0FF32}">
  <cacheSource type="worksheet">
    <worksheetSource ref="A1:I101" sheet="Sheet1"/>
  </cacheSource>
  <cacheFields count="9">
    <cacheField name="Gender" numFmtId="0">
      <sharedItems containsSemiMixedTypes="0" containsNonDate="0" containsString="0"/>
    </cacheField>
    <cacheField name="Student ID" numFmtId="0">
      <sharedItems containsSemiMixedTypes="0" containsNonDate="0" containsString="0"/>
    </cacheField>
    <cacheField name="Ethnicity" numFmtId="0">
      <sharedItems containsSemiMixedTypes="0" containsNonDate="0" containsString="0"/>
    </cacheField>
    <cacheField name="Parental Education" numFmtId="0">
      <sharedItems containsSemiMixedTypes="0" containsNonDate="0" containsString="0"/>
    </cacheField>
    <cacheField name="Test Preparation" numFmtId="0">
      <sharedItems containsSemiMixedTypes="0" containsNonDate="0" containsString="0"/>
    </cacheField>
    <cacheField name="Math Score" numFmtId="0">
      <sharedItems containsSemiMixedTypes="0" containsNonDate="0" containsString="0"/>
    </cacheField>
    <cacheField name="Reading Score" numFmtId="0">
      <sharedItems containsSemiMixedTypes="0" containsNonDate="0" containsString="0"/>
    </cacheField>
    <cacheField name="Writing Score" numFmtId="0">
      <sharedItems containsSemiMixedTypes="0" containsString="0" containsNumber="1" minValue="0" maxValue="0"/>
      <fieldGroup base="7">
        <rangePr autoStart="0" autoEnd="0" startNum="30" endNum="90" groupInterval="10"/>
        <groupItems count="8">
          <s v="&lt;30"/>
          <s v="30-40"/>
          <s v="40-50"/>
          <s v="50-60"/>
          <s v="60-70"/>
          <s v="70-80"/>
          <s v="80-90"/>
          <s v="&gt;90"/>
        </groupItems>
      </fieldGroup>
    </cacheField>
    <cacheField name="Average Score" numFmtId="0">
      <sharedItems containsSemiMixedTypes="0" containsString="0" containsNumber="1" minValue="0" maxValue="0"/>
      <fieldGroup base="8">
        <rangePr autoStart="0" startNum="40" endNum="0" groupInterval="10"/>
        <groupItems count="1">
          <s v="&lt;4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5B0EE1B0-74DE-4363-89C1-23CD5A82BF4C}">
  <cacheSource type="worksheet">
    <worksheetSource ref="A1:I101" sheet="Sheet1"/>
  </cacheSource>
  <cacheFields count="9">
    <cacheField name="Writing Score" numFmtId="0">
      <sharedItems containsSemiMixedTypes="0" containsNonDate="0" containsString="0"/>
    </cacheField>
    <cacheField name="Reading Score" numFmtId="0">
      <sharedItems containsSemiMixedTypes="0" containsNonDate="0" containsString="0"/>
    </cacheField>
    <cacheField name="Math Score" numFmtId="0">
      <sharedItems containsSemiMixedTypes="0" containsNonDate="0" containsString="0"/>
    </cacheField>
    <cacheField name="Student ID" numFmtId="0">
      <sharedItems containsSemiMixedTypes="0" containsNonDate="0" containsString="0"/>
    </cacheField>
    <cacheField name="Gender" numFmtId="0">
      <sharedItems containsSemiMixedTypes="0" containsNonDate="0" containsString="0"/>
    </cacheField>
    <cacheField name="Ethnicity" numFmtId="0">
      <sharedItems containsSemiMixedTypes="0" containsNonDate="0" containsString="0"/>
    </cacheField>
    <cacheField name="Parental Education" numFmtId="0">
      <sharedItems containsSemiMixedTypes="0" containsNonDate="0" containsString="0"/>
    </cacheField>
    <cacheField name="Test Preparation" numFmtId="0">
      <sharedItems containsSemiMixedTypes="0" containsNonDate="0" containsString="0"/>
    </cacheField>
    <cacheField name="Average Score" numFmtId="0">
      <sharedItems containsSemiMixedTypes="0" containsString="0" containsNumber="1" minValue="0" maxValue="0"/>
      <fieldGroup base="8">
        <rangePr autoStart="0" startNum="40" endNum="0" groupInterval="10"/>
        <groupItems count="1">
          <s v="&lt;4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E4DA6F26-98FC-4118-93A0-3E50935650C9}">
  <cacheSource type="worksheet">
    <worksheetSource ref="A1:I101" sheet="Sheet1"/>
  </cacheSource>
  <cacheFields count="9">
    <cacheField name="Test Preparation" numFmtId="0">
      <sharedItems containsSemiMixedTypes="0" containsNonDate="0" containsString="0"/>
    </cacheField>
    <cacheField name="Average Score" numFmtId="0">
      <sharedItems containsSemiMixedTypes="0" containsNonDate="0" containsString="0"/>
    </cacheField>
    <cacheField name="Student ID" numFmtId="0">
      <sharedItems containsSemiMixedTypes="0" containsNonDate="0" containsString="0"/>
    </cacheField>
    <cacheField name="Gender" numFmtId="0">
      <sharedItems containsSemiMixedTypes="0" containsNonDate="0" containsString="0"/>
    </cacheField>
    <cacheField name="Ethnicity" numFmtId="0">
      <sharedItems containsSemiMixedTypes="0" containsNonDate="0" containsString="0"/>
    </cacheField>
    <cacheField name="Parental Education" numFmtId="0">
      <sharedItems containsSemiMixedTypes="0" containsNonDate="0" containsString="0"/>
    </cacheField>
    <cacheField name="Math Score" numFmtId="0">
      <sharedItems containsSemiMixedTypes="0" containsNonDate="0" containsString="0"/>
    </cacheField>
    <cacheField name="Reading Score" numFmtId="0">
      <sharedItems containsSemiMixedTypes="0" containsNonDate="0" containsString="0"/>
    </cacheField>
    <cacheField name="Writing Score" numFmtId="0">
      <sharedItems containsSemiMixedTypes="0" containsString="0" containsNumber="1" minValue="0" maxValue="0"/>
      <fieldGroup base="8">
        <rangePr autoStart="0" autoEnd="0" startNum="30" endNum="90" groupInterval="10"/>
        <groupItems count="8">
          <s v="&lt;30"/>
          <s v="30-40"/>
          <s v="40-50"/>
          <s v="50-60"/>
          <s v="60-70"/>
          <s v="70-80"/>
          <s v="80-90"/>
          <s v="&gt;9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42E623BF-EFBF-4DCA-90D5-05DB94C07A08}">
  <cacheSource type="worksheet">
    <worksheetSource ref="A1:I101" sheet="Sheet1"/>
  </cacheSource>
  <cacheFields count="9">
    <cacheField name="Gender" numFmtId="0">
      <sharedItems containsSemiMixedTypes="0" containsNonDate="0" containsString="0"/>
    </cacheField>
    <cacheField name="Math Score" numFmtId="0">
      <sharedItems containsSemiMixedTypes="0" containsNonDate="0" containsString="0"/>
    </cacheField>
    <cacheField name="Student ID" numFmtId="0">
      <sharedItems containsSemiMixedTypes="0" containsNonDate="0" containsString="0"/>
    </cacheField>
    <cacheField name="Ethnicity" numFmtId="0">
      <sharedItems containsSemiMixedTypes="0" containsNonDate="0" containsString="0"/>
    </cacheField>
    <cacheField name="Parental Education" numFmtId="0">
      <sharedItems containsSemiMixedTypes="0" containsNonDate="0" containsString="0"/>
    </cacheField>
    <cacheField name="Test Preparation" numFmtId="0">
      <sharedItems containsSemiMixedTypes="0" containsNonDate="0" containsString="0"/>
    </cacheField>
    <cacheField name="Reading Score" numFmtId="0">
      <sharedItems containsSemiMixedTypes="0" containsNonDate="0" containsString="0"/>
    </cacheField>
    <cacheField name="Writing Score" numFmtId="0">
      <sharedItems containsSemiMixedTypes="0" containsString="0" containsNumber="1" minValue="0" maxValue="0"/>
      <fieldGroup base="7">
        <rangePr autoStart="0" autoEnd="0" startNum="30" endNum="90" groupInterval="10"/>
        <groupItems count="8">
          <s v="&lt;30"/>
          <s v="30-40"/>
          <s v="40-50"/>
          <s v="50-60"/>
          <s v="60-70"/>
          <s v="70-80"/>
          <s v="80-90"/>
          <s v="&gt;90"/>
        </groupItems>
      </fieldGroup>
    </cacheField>
    <cacheField name="Average Score" numFmtId="0">
      <sharedItems containsSemiMixedTypes="0" containsString="0" containsNumber="1" minValue="0" maxValue="0"/>
      <fieldGroup base="8">
        <rangePr autoStart="0" startNum="40" endNum="0" groupInterval="10"/>
        <groupItems count="1">
          <s v="&lt;4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C5B0FB72-035A-4306-B0EA-C8B4F02C6DBB}">
  <cacheSource type="worksheet">
    <worksheetSource ref="A1:I101" sheet="Sheet1"/>
  </cacheSource>
  <cacheFields count="9">
    <cacheField name="Ethnicity" numFmtId="0">
      <sharedItems containsSemiMixedTypes="0" containsNonDate="0" containsString="0"/>
    </cacheField>
    <cacheField name="Reading Score" numFmtId="0">
      <sharedItems containsSemiMixedTypes="0" containsNonDate="0" containsString="0"/>
    </cacheField>
    <cacheField name="Student ID" numFmtId="0">
      <sharedItems containsSemiMixedTypes="0" containsNonDate="0" containsString="0"/>
    </cacheField>
    <cacheField name="Gender" numFmtId="0">
      <sharedItems containsSemiMixedTypes="0" containsNonDate="0" containsString="0"/>
    </cacheField>
    <cacheField name="Parental Education" numFmtId="0">
      <sharedItems containsSemiMixedTypes="0" containsNonDate="0" containsString="0"/>
    </cacheField>
    <cacheField name="Test Preparation" numFmtId="0">
      <sharedItems containsSemiMixedTypes="0" containsNonDate="0" containsString="0"/>
    </cacheField>
    <cacheField name="Math Score" numFmtId="0">
      <sharedItems containsSemiMixedTypes="0" containsNonDate="0" containsString="0"/>
    </cacheField>
    <cacheField name="Writing Score" numFmtId="0">
      <sharedItems containsSemiMixedTypes="0" containsString="0" containsNumber="1" minValue="0" maxValue="0"/>
      <fieldGroup base="7">
        <rangePr autoStart="0" autoEnd="0" startNum="30" endNum="90" groupInterval="10"/>
        <groupItems count="8">
          <s v="&lt;30"/>
          <s v="30-40"/>
          <s v="40-50"/>
          <s v="50-60"/>
          <s v="60-70"/>
          <s v="70-80"/>
          <s v="80-90"/>
          <s v="&gt;90"/>
        </groupItems>
      </fieldGroup>
    </cacheField>
    <cacheField name="Average Score" numFmtId="0">
      <sharedItems containsSemiMixedTypes="0" containsString="0" containsNumber="1" minValue="0" maxValue="0"/>
      <fieldGroup base="8">
        <rangePr autoStart="0" startNum="40" endNum="0" groupInterval="10"/>
        <groupItems count="1">
          <s v="&lt;4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D6E36BCD-BEA7-4BF1-9131-A2C0424A83E4}">
  <cacheSource type="worksheet">
    <worksheetSource ref="A1:I101" sheet="Sheet1"/>
  </cacheSource>
  <cacheFields count="9">
    <cacheField name="Average Score" numFmtId="0">
      <sharedItems containsSemiMixedTypes="0" containsString="0" containsNumber="1" minValue="0" maxValue="0"/>
      <fieldGroup base="0">
        <rangePr autoStart="0" startNum="40" endNum="0" groupInterval="10"/>
        <groupItems count="1">
          <s v="&lt;40"/>
        </groupItems>
      </fieldGroup>
    </cacheField>
    <cacheField name="Parental Education" numFmtId="0">
      <sharedItems containsSemiMixedTypes="0" containsNonDate="0" containsString="0"/>
    </cacheField>
    <cacheField name="Student ID" numFmtId="0">
      <sharedItems containsSemiMixedTypes="0" containsNonDate="0" containsString="0"/>
    </cacheField>
    <cacheField name="Gender" numFmtId="0">
      <sharedItems containsSemiMixedTypes="0" containsNonDate="0" containsString="0"/>
    </cacheField>
    <cacheField name="Ethnicity" numFmtId="0">
      <sharedItems containsSemiMixedTypes="0" containsNonDate="0" containsString="0"/>
    </cacheField>
    <cacheField name="Test Preparation" numFmtId="0">
      <sharedItems containsSemiMixedTypes="0" containsNonDate="0" containsString="0"/>
    </cacheField>
    <cacheField name="Math Score" numFmtId="0">
      <sharedItems containsSemiMixedTypes="0" containsNonDate="0" containsString="0"/>
    </cacheField>
    <cacheField name="Reading Score" numFmtId="0">
      <sharedItems containsSemiMixedTypes="0" containsNonDate="0" containsString="0"/>
    </cacheField>
    <cacheField name="Writing Score" numFmtId="0">
      <sharedItems containsSemiMixedTypes="0" containsString="0" containsNumber="1" minValue="0" maxValue="0"/>
      <fieldGroup base="8">
        <rangePr autoStart="0" autoEnd="0" startNum="30" endNum="90" groupInterval="10"/>
        <groupItems count="8">
          <s v="&lt;30"/>
          <s v="30-40"/>
          <s v="40-50"/>
          <s v="50-60"/>
          <s v="60-70"/>
          <s v="70-80"/>
          <s v="80-90"/>
          <s v="&gt;9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40B4E-2910-4BCF-9989-84FF01049CF1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3:F11" firstHeaderRow="1" firstDataRow="2" firstDataCol="1"/>
  <pivotFields count="9">
    <pivotField axis="axisCol" dataField="1" compact="0" showAll="0" includeNewItemsInFilter="1">
      <items count="2">
        <item x="0"/>
        <item t="default"/>
      </items>
    </pivotField>
    <pivotField axis="axisRow"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"/>
  </rowFields>
  <colFields count="1">
    <field x="0"/>
  </colFields>
  <dataFields count="1">
    <dataField name="Count of Average Score" fld="0" subtotal="count" baseField="0" baseItem="1048828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E6BC6-5A03-48D1-80E7-67FC44445C46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15:B21" firstHeaderRow="1" firstDataRow="1" firstDataCol="1"/>
  <pivotFields count="9">
    <pivotField axis="axisRow" compact="0" showAll="0" includeNewItemsInFilter="1">
      <items count="1">
        <item t="default"/>
      </items>
    </pivotField>
    <pivotField dataField="1"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 includeNewItemsInFilter="1">
      <items count="2">
        <item x="0"/>
        <item t="default"/>
      </items>
    </pivotField>
  </pivotFields>
  <rowFields count="1">
    <field x="0"/>
  </rowFields>
  <dataFields count="1">
    <dataField name="Average of Reading Score" fld="1" subtotal="average" baseField="1" baseItem="1048828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978CF-C042-4023-9726-BDA938C12E85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24:B27" firstHeaderRow="1" firstDataRow="1" firstDataCol="1"/>
  <pivotFields count="9">
    <pivotField axis="axisRow" compact="0" showAll="0" includeNewItemsInFilter="1">
      <items count="1">
        <item t="default"/>
      </items>
    </pivotField>
    <pivotField dataField="1"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 includeNewItemsInFilter="1">
      <items count="2">
        <item x="0"/>
        <item t="default"/>
      </items>
    </pivotField>
  </pivotFields>
  <rowFields count="1">
    <field x="0"/>
  </rowFields>
  <dataFields count="1">
    <dataField name="Average of Math Score" fld="1" subtotal="average" baseField="1" baseItem="1048828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B0FFA-C62C-44A9-B96A-DB0D5DDEBE03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30:B33" firstHeaderRow="1" firstDataRow="1" firstDataCol="1"/>
  <pivotFields count="9">
    <pivotField axis="axisRow" compact="0" showAll="0" includeNewItemsInFilter="1">
      <items count="1">
        <item t="default"/>
      </items>
    </pivotField>
    <pivotField dataField="1"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0"/>
  </rowFields>
  <dataFields count="1">
    <dataField name="Average of Average Score" fld="1" subtotal="average" baseField="1" baseItem="1048828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45CF5-F10B-4B32-BC0B-90CC46152840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35:C36" firstHeaderRow="1" firstDataRow="2" firstDataCol="0"/>
  <pivotFields count="9">
    <pivotField dataField="1" compact="0" showAll="0" includeNewItemsInFilter="1">
      <items count="1">
        <item t="default"/>
      </items>
    </pivotField>
    <pivotField dataField="1" compact="0" showAll="0" includeNewItemsInFilter="1">
      <items count="1">
        <item t="default"/>
      </items>
    </pivotField>
    <pivotField dataField="1"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2">
        <item x="0"/>
        <item t="default"/>
      </items>
    </pivotField>
  </pivotFields>
  <colFields count="1">
    <field x="-2"/>
  </colFields>
  <dataFields count="3">
    <dataField name="Average of Writing Score" fld="0" subtotal="average" baseField="0" baseItem="1048828"/>
    <dataField name="Average of Reading Score" fld="1" subtotal="average" baseField="1" baseItem="1048828"/>
    <dataField name="Average of Math Score" fld="2" subtotal="average" baseField="2" baseItem="1048828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E6907-31E7-4A87-AFA3-FBC832B79494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40:B43" firstHeaderRow="1" firstDataRow="1" firstDataCol="1"/>
  <pivotFields count="9">
    <pivotField axis="axisRow" dataField="1"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 includeNewItemsInFilter="1">
      <items count="2">
        <item x="0"/>
        <item t="default"/>
      </items>
    </pivotField>
  </pivotFields>
  <rowFields count="1">
    <field x="0"/>
  </rowFields>
  <dataFields count="1">
    <dataField name="Count of Gender" fld="0" subtotal="count" showDataAs="percentOfTotal" baseField="1" baseItem="1048828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7922C-3A3E-43EC-863F-C717368CC3A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52:B63" firstHeaderRow="1" firstDataRow="1" firstDataCol="1"/>
  <pivotFields count="9">
    <pivotField axis="axisRow" compact="0" showAll="0" measureFilter="1" includeNewItemsInFilter="1" sortType="descending">
      <items count="1"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0"/>
  </rowFields>
  <dataFields count="1">
    <dataField name="Average of Average Score" fld="1" subtotal="average" baseField="1" baseItem="1048828"/>
  </dataField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2A55-DA97-4C2D-890A-5B17168D8925}">
  <dimension ref="A3:F63"/>
  <sheetViews>
    <sheetView topLeftCell="A51" workbookViewId="0"/>
  </sheetViews>
  <sheetFormatPr defaultRowHeight="14.5" x14ac:dyDescent="0.35"/>
  <cols>
    <col min="1" max="1" width="20.36328125" bestFit="1" customWidth="1"/>
    <col min="2" max="2" width="13.90625" bestFit="1" customWidth="1"/>
    <col min="3" max="5" width="5.90625" bestFit="1" customWidth="1"/>
    <col min="6" max="6" width="10.7265625" bestFit="1" customWidth="1"/>
    <col min="7" max="60" width="5.36328125" bestFit="1" customWidth="1"/>
    <col min="61" max="61" width="10.6328125" bestFit="1" customWidth="1"/>
    <col min="62" max="62" width="8.7265625" customWidth="1"/>
  </cols>
  <sheetData>
    <row r="3" spans="1:6" x14ac:dyDescent="0.35">
      <c r="A3" s="1" t="s">
        <v>0</v>
      </c>
      <c r="B3" s="1" t="s">
        <v>1</v>
      </c>
      <c r="C3" s="2"/>
      <c r="D3" s="2"/>
      <c r="E3" s="2"/>
      <c r="F3" s="3"/>
    </row>
    <row r="4" spans="1:6" x14ac:dyDescent="0.35">
      <c r="A4" s="1" t="s">
        <v>2</v>
      </c>
      <c r="B4" s="4" t="s">
        <v>3</v>
      </c>
      <c r="C4" s="5" t="s">
        <v>4</v>
      </c>
      <c r="D4" s="5" t="s">
        <v>5</v>
      </c>
      <c r="E4" s="5" t="s">
        <v>6</v>
      </c>
      <c r="F4" s="6" t="s">
        <v>7</v>
      </c>
    </row>
    <row r="5" spans="1:6" x14ac:dyDescent="0.35">
      <c r="A5" s="7" t="s">
        <v>8</v>
      </c>
      <c r="B5" s="1">
        <v>2</v>
      </c>
      <c r="C5" s="8">
        <v>9</v>
      </c>
      <c r="D5" s="8">
        <v>10</v>
      </c>
      <c r="E5" s="8">
        <v>2</v>
      </c>
      <c r="F5" s="9">
        <v>23</v>
      </c>
    </row>
    <row r="6" spans="1:6" x14ac:dyDescent="0.35">
      <c r="A6" s="10" t="s">
        <v>9</v>
      </c>
      <c r="B6" s="11">
        <v>1</v>
      </c>
      <c r="C6" s="12">
        <v>3</v>
      </c>
      <c r="D6" s="12">
        <v>10</v>
      </c>
      <c r="E6" s="12">
        <v>3</v>
      </c>
      <c r="F6" s="13">
        <v>17</v>
      </c>
    </row>
    <row r="7" spans="1:6" x14ac:dyDescent="0.35">
      <c r="A7" s="10" t="s">
        <v>10</v>
      </c>
      <c r="B7" s="11">
        <v>2</v>
      </c>
      <c r="C7" s="12">
        <v>5</v>
      </c>
      <c r="D7" s="12">
        <v>10</v>
      </c>
      <c r="E7" s="12">
        <v>3</v>
      </c>
      <c r="F7" s="13">
        <v>20</v>
      </c>
    </row>
    <row r="8" spans="1:6" x14ac:dyDescent="0.35">
      <c r="A8" s="10" t="s">
        <v>11</v>
      </c>
      <c r="B8" s="11">
        <v>3</v>
      </c>
      <c r="C8" s="12">
        <v>4</v>
      </c>
      <c r="D8" s="12">
        <v>5</v>
      </c>
      <c r="E8" s="12">
        <v>1</v>
      </c>
      <c r="F8" s="13">
        <v>13</v>
      </c>
    </row>
    <row r="9" spans="1:6" x14ac:dyDescent="0.35">
      <c r="A9" s="10" t="s">
        <v>12</v>
      </c>
      <c r="B9" s="11"/>
      <c r="C9" s="12">
        <v>3</v>
      </c>
      <c r="D9" s="12">
        <v>8</v>
      </c>
      <c r="E9" s="12">
        <v>2</v>
      </c>
      <c r="F9" s="13">
        <v>13</v>
      </c>
    </row>
    <row r="10" spans="1:6" x14ac:dyDescent="0.35">
      <c r="A10" s="10" t="s">
        <v>13</v>
      </c>
      <c r="B10" s="11">
        <v>2</v>
      </c>
      <c r="C10" s="12">
        <v>4</v>
      </c>
      <c r="D10" s="12">
        <v>7</v>
      </c>
      <c r="E10" s="12">
        <v>1</v>
      </c>
      <c r="F10" s="13">
        <v>14</v>
      </c>
    </row>
    <row r="11" spans="1:6" x14ac:dyDescent="0.35">
      <c r="A11" s="14" t="s">
        <v>7</v>
      </c>
      <c r="B11" s="15">
        <v>10</v>
      </c>
      <c r="C11" s="16">
        <v>28</v>
      </c>
      <c r="D11" s="16">
        <v>50</v>
      </c>
      <c r="E11" s="16">
        <v>12</v>
      </c>
      <c r="F11" s="17">
        <v>100</v>
      </c>
    </row>
    <row r="15" spans="1:6" x14ac:dyDescent="0.35">
      <c r="A15" s="1" t="s">
        <v>14</v>
      </c>
      <c r="B15" s="9" t="s">
        <v>15</v>
      </c>
    </row>
    <row r="16" spans="1:6" x14ac:dyDescent="0.35">
      <c r="A16" s="7" t="s">
        <v>16</v>
      </c>
      <c r="B16" s="6">
        <v>62.03846153846154</v>
      </c>
    </row>
    <row r="17" spans="1:2" x14ac:dyDescent="0.35">
      <c r="A17" s="10" t="s">
        <v>17</v>
      </c>
      <c r="B17" s="18">
        <v>57.5</v>
      </c>
    </row>
    <row r="18" spans="1:2" x14ac:dyDescent="0.35">
      <c r="A18" s="10" t="s">
        <v>18</v>
      </c>
      <c r="B18" s="18">
        <v>59.541666666666664</v>
      </c>
    </row>
    <row r="19" spans="1:2" x14ac:dyDescent="0.35">
      <c r="A19" s="10" t="s">
        <v>19</v>
      </c>
      <c r="B19" s="18">
        <v>63.058823529411768</v>
      </c>
    </row>
    <row r="20" spans="1:2" x14ac:dyDescent="0.35">
      <c r="A20" s="10" t="s">
        <v>20</v>
      </c>
      <c r="B20" s="18">
        <v>59.473684210526315</v>
      </c>
    </row>
    <row r="21" spans="1:2" x14ac:dyDescent="0.35">
      <c r="A21" s="14" t="s">
        <v>7</v>
      </c>
      <c r="B21" s="19">
        <v>60.49</v>
      </c>
    </row>
    <row r="24" spans="1:2" x14ac:dyDescent="0.35">
      <c r="A24" s="1" t="s">
        <v>21</v>
      </c>
      <c r="B24" s="9" t="s">
        <v>22</v>
      </c>
    </row>
    <row r="25" spans="1:2" x14ac:dyDescent="0.35">
      <c r="A25" s="7" t="s">
        <v>23</v>
      </c>
      <c r="B25" s="6">
        <v>63.584905660377359</v>
      </c>
    </row>
    <row r="26" spans="1:2" x14ac:dyDescent="0.35">
      <c r="A26" s="10" t="s">
        <v>24</v>
      </c>
      <c r="B26" s="18">
        <v>61.297872340425535</v>
      </c>
    </row>
    <row r="27" spans="1:2" x14ac:dyDescent="0.35">
      <c r="A27" s="14" t="s">
        <v>7</v>
      </c>
      <c r="B27" s="17">
        <v>62.51</v>
      </c>
    </row>
    <row r="30" spans="1:2" x14ac:dyDescent="0.35">
      <c r="A30" s="1" t="s">
        <v>25</v>
      </c>
      <c r="B30" s="9" t="s">
        <v>26</v>
      </c>
    </row>
    <row r="31" spans="1:2" x14ac:dyDescent="0.35">
      <c r="A31" s="7" t="s">
        <v>27</v>
      </c>
      <c r="B31" s="6">
        <v>66.341463414634163</v>
      </c>
    </row>
    <row r="32" spans="1:2" x14ac:dyDescent="0.35">
      <c r="A32" s="10" t="s">
        <v>28</v>
      </c>
      <c r="B32" s="18">
        <v>57.587570621468892</v>
      </c>
    </row>
    <row r="33" spans="1:3" x14ac:dyDescent="0.35">
      <c r="A33" s="14" t="s">
        <v>7</v>
      </c>
      <c r="B33" s="19">
        <v>61.176666666666705</v>
      </c>
    </row>
    <row r="35" spans="1:3" x14ac:dyDescent="0.35">
      <c r="A35" s="1" t="s">
        <v>29</v>
      </c>
      <c r="B35" s="8" t="s">
        <v>15</v>
      </c>
      <c r="C35" s="20" t="s">
        <v>22</v>
      </c>
    </row>
    <row r="36" spans="1:3" x14ac:dyDescent="0.35">
      <c r="A36" s="21">
        <v>60.53</v>
      </c>
      <c r="B36" s="22">
        <v>60.49</v>
      </c>
      <c r="C36" s="23">
        <v>62.51</v>
      </c>
    </row>
    <row r="40" spans="1:3" x14ac:dyDescent="0.35">
      <c r="A40" s="1" t="s">
        <v>21</v>
      </c>
      <c r="B40" s="24" t="s">
        <v>30</v>
      </c>
    </row>
    <row r="41" spans="1:3" x14ac:dyDescent="0.35">
      <c r="A41" s="7" t="s">
        <v>23</v>
      </c>
      <c r="B41" s="25">
        <v>0.53</v>
      </c>
    </row>
    <row r="42" spans="1:3" x14ac:dyDescent="0.35">
      <c r="A42" s="10" t="s">
        <v>24</v>
      </c>
      <c r="B42" s="26">
        <v>0.47</v>
      </c>
    </row>
    <row r="43" spans="1:3" x14ac:dyDescent="0.35">
      <c r="A43" s="14" t="s">
        <v>7</v>
      </c>
      <c r="B43" s="27">
        <v>1</v>
      </c>
    </row>
    <row r="52" spans="1:2" x14ac:dyDescent="0.35">
      <c r="A52" s="1" t="s">
        <v>31</v>
      </c>
      <c r="B52" s="9" t="s">
        <v>32</v>
      </c>
    </row>
    <row r="53" spans="1:2" x14ac:dyDescent="0.35">
      <c r="A53" s="7" t="s">
        <v>33</v>
      </c>
      <c r="B53" s="6">
        <v>78</v>
      </c>
    </row>
    <row r="54" spans="1:2" x14ac:dyDescent="0.35">
      <c r="A54" s="10" t="s">
        <v>34</v>
      </c>
      <c r="B54" s="18">
        <v>77.666666666666671</v>
      </c>
    </row>
    <row r="55" spans="1:2" x14ac:dyDescent="0.35">
      <c r="A55" s="10" t="s">
        <v>35</v>
      </c>
      <c r="B55" s="18">
        <v>76</v>
      </c>
    </row>
    <row r="56" spans="1:2" x14ac:dyDescent="0.35">
      <c r="A56" s="10" t="s">
        <v>36</v>
      </c>
      <c r="B56" s="18">
        <v>75.333333333333329</v>
      </c>
    </row>
    <row r="57" spans="1:2" x14ac:dyDescent="0.35">
      <c r="A57" s="10" t="s">
        <v>37</v>
      </c>
      <c r="B57" s="18">
        <v>75</v>
      </c>
    </row>
    <row r="58" spans="1:2" x14ac:dyDescent="0.35">
      <c r="A58" s="10" t="s">
        <v>38</v>
      </c>
      <c r="B58" s="18">
        <v>72.666666666666671</v>
      </c>
    </row>
    <row r="59" spans="1:2" x14ac:dyDescent="0.35">
      <c r="A59" s="10" t="s">
        <v>39</v>
      </c>
      <c r="B59" s="18">
        <v>72.666666666666671</v>
      </c>
    </row>
    <row r="60" spans="1:2" x14ac:dyDescent="0.35">
      <c r="A60" s="10" t="s">
        <v>40</v>
      </c>
      <c r="B60" s="18">
        <v>72</v>
      </c>
    </row>
    <row r="61" spans="1:2" x14ac:dyDescent="0.35">
      <c r="A61" s="10" t="s">
        <v>41</v>
      </c>
      <c r="B61" s="18">
        <v>71.666666666666671</v>
      </c>
    </row>
    <row r="62" spans="1:2" x14ac:dyDescent="0.35">
      <c r="A62" s="10" t="s">
        <v>42</v>
      </c>
      <c r="B62" s="18">
        <v>71.666666666666671</v>
      </c>
    </row>
    <row r="63" spans="1:2" x14ac:dyDescent="0.35">
      <c r="A63" s="14" t="s">
        <v>7</v>
      </c>
      <c r="B63" s="19">
        <v>74.266666666666666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75FD-B3C0-46A1-BAF3-9545D23B845D}">
  <dimension ref="A1"/>
  <sheetViews>
    <sheetView showGridLines="0" tabSelected="1" topLeftCell="B9" zoomScale="87" zoomScaleNormal="87" workbookViewId="0">
      <selection activeCell="AC31" sqref="AC31"/>
    </sheetView>
  </sheetViews>
  <sheetFormatPr defaultRowHeight="14.5" x14ac:dyDescent="0.35"/>
  <cols>
    <col min="1" max="1" width="16.36328125" bestFit="1" customWidth="1"/>
    <col min="2" max="2" width="8.7265625" customWidth="1"/>
  </cols>
  <sheetData/>
  <pageMargins left="0.70000000000000007" right="0.70000000000000007" top="0.75" bottom="0.75" header="0.30000000000000004" footer="0.3000000000000000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999AE-A78F-457B-8ED7-EE116967B326}">
  <dimension ref="A1:I999"/>
  <sheetViews>
    <sheetView workbookViewId="0"/>
  </sheetViews>
  <sheetFormatPr defaultRowHeight="15" customHeight="1" x14ac:dyDescent="0.35"/>
  <cols>
    <col min="1" max="1" width="9.7265625" bestFit="1" customWidth="1"/>
    <col min="2" max="2" width="7" bestFit="1" customWidth="1"/>
    <col min="3" max="3" width="8.08984375" bestFit="1" customWidth="1"/>
    <col min="4" max="4" width="16.81640625" bestFit="1" customWidth="1"/>
    <col min="5" max="5" width="14.90625" bestFit="1" customWidth="1"/>
    <col min="6" max="6" width="10.36328125" bestFit="1" customWidth="1"/>
    <col min="7" max="7" width="12.453125" bestFit="1" customWidth="1"/>
    <col min="8" max="8" width="12" bestFit="1" customWidth="1"/>
    <col min="9" max="9" width="12.54296875" bestFit="1" customWidth="1"/>
    <col min="10" max="26" width="8.81640625" customWidth="1"/>
    <col min="27" max="1024" width="14.54296875" customWidth="1"/>
    <col min="1025" max="1025" width="8.7265625" customWidth="1"/>
  </cols>
  <sheetData>
    <row r="1" spans="1:9" ht="14.5" x14ac:dyDescent="0.35">
      <c r="A1" s="28" t="s">
        <v>31</v>
      </c>
      <c r="B1" s="28" t="s">
        <v>21</v>
      </c>
      <c r="C1" s="28" t="s">
        <v>14</v>
      </c>
      <c r="D1" s="28" t="s">
        <v>43</v>
      </c>
      <c r="E1" s="28" t="s">
        <v>44</v>
      </c>
      <c r="F1" s="28" t="s">
        <v>45</v>
      </c>
      <c r="G1" s="28" t="s">
        <v>46</v>
      </c>
      <c r="H1" s="28" t="s">
        <v>47</v>
      </c>
      <c r="I1" s="29" t="s">
        <v>48</v>
      </c>
    </row>
    <row r="2" spans="1:9" ht="14.5" x14ac:dyDescent="0.35">
      <c r="A2" t="s">
        <v>49</v>
      </c>
      <c r="B2" t="s">
        <v>24</v>
      </c>
      <c r="C2" t="s">
        <v>16</v>
      </c>
      <c r="D2" t="s">
        <v>9</v>
      </c>
      <c r="E2" t="s">
        <v>27</v>
      </c>
      <c r="F2">
        <v>43</v>
      </c>
      <c r="G2">
        <v>68</v>
      </c>
      <c r="H2">
        <v>68</v>
      </c>
      <c r="I2" s="30">
        <f t="shared" ref="I2:I33" si="0">AVERAGE(F2:H2)</f>
        <v>59.666666666666664</v>
      </c>
    </row>
    <row r="3" spans="1:9" ht="14.5" x14ac:dyDescent="0.35">
      <c r="A3" t="s">
        <v>50</v>
      </c>
      <c r="B3" t="s">
        <v>23</v>
      </c>
      <c r="C3" t="s">
        <v>20</v>
      </c>
      <c r="D3" t="s">
        <v>8</v>
      </c>
      <c r="E3" t="s">
        <v>27</v>
      </c>
      <c r="F3">
        <v>66</v>
      </c>
      <c r="G3">
        <v>75</v>
      </c>
      <c r="H3">
        <v>54</v>
      </c>
      <c r="I3" s="30">
        <f t="shared" si="0"/>
        <v>65</v>
      </c>
    </row>
    <row r="4" spans="1:9" ht="14.5" x14ac:dyDescent="0.35">
      <c r="A4" t="s">
        <v>51</v>
      </c>
      <c r="B4" t="s">
        <v>24</v>
      </c>
      <c r="C4" t="s">
        <v>20</v>
      </c>
      <c r="D4" t="s">
        <v>12</v>
      </c>
      <c r="E4" t="s">
        <v>27</v>
      </c>
      <c r="F4">
        <v>58</v>
      </c>
      <c r="G4">
        <v>59</v>
      </c>
      <c r="H4">
        <v>89</v>
      </c>
      <c r="I4" s="30">
        <f t="shared" si="0"/>
        <v>68.666666666666671</v>
      </c>
    </row>
    <row r="5" spans="1:9" ht="14.5" x14ac:dyDescent="0.35">
      <c r="A5" t="s">
        <v>52</v>
      </c>
      <c r="B5" t="s">
        <v>24</v>
      </c>
      <c r="C5" t="s">
        <v>18</v>
      </c>
      <c r="D5" t="s">
        <v>8</v>
      </c>
      <c r="E5" t="s">
        <v>28</v>
      </c>
      <c r="F5">
        <v>49</v>
      </c>
      <c r="G5">
        <v>52</v>
      </c>
      <c r="H5">
        <v>54</v>
      </c>
      <c r="I5" s="30">
        <f t="shared" si="0"/>
        <v>51.666666666666664</v>
      </c>
    </row>
    <row r="6" spans="1:9" ht="14.5" x14ac:dyDescent="0.35">
      <c r="A6" t="s">
        <v>53</v>
      </c>
      <c r="B6" t="s">
        <v>23</v>
      </c>
      <c r="C6" t="s">
        <v>20</v>
      </c>
      <c r="D6" t="s">
        <v>10</v>
      </c>
      <c r="E6" t="s">
        <v>28</v>
      </c>
      <c r="F6">
        <v>45</v>
      </c>
      <c r="G6">
        <v>54</v>
      </c>
      <c r="H6">
        <v>35</v>
      </c>
      <c r="I6" s="30">
        <f t="shared" si="0"/>
        <v>44.666666666666664</v>
      </c>
    </row>
    <row r="7" spans="1:9" ht="14.5" x14ac:dyDescent="0.35">
      <c r="A7" t="s">
        <v>54</v>
      </c>
      <c r="B7" t="s">
        <v>23</v>
      </c>
      <c r="C7" t="s">
        <v>18</v>
      </c>
      <c r="D7" t="s">
        <v>11</v>
      </c>
      <c r="E7" t="s">
        <v>28</v>
      </c>
      <c r="F7">
        <v>53</v>
      </c>
      <c r="G7">
        <v>78</v>
      </c>
      <c r="H7">
        <v>62</v>
      </c>
      <c r="I7" s="30">
        <f t="shared" si="0"/>
        <v>64.333333333333329</v>
      </c>
    </row>
    <row r="8" spans="1:9" ht="14.5" x14ac:dyDescent="0.35">
      <c r="A8" t="s">
        <v>55</v>
      </c>
      <c r="B8" t="s">
        <v>24</v>
      </c>
      <c r="C8" t="s">
        <v>19</v>
      </c>
      <c r="D8" t="s">
        <v>12</v>
      </c>
      <c r="E8" t="s">
        <v>28</v>
      </c>
      <c r="F8">
        <v>77</v>
      </c>
      <c r="G8">
        <v>67</v>
      </c>
      <c r="H8">
        <v>58</v>
      </c>
      <c r="I8" s="30">
        <f t="shared" si="0"/>
        <v>67.333333333333329</v>
      </c>
    </row>
    <row r="9" spans="1:9" ht="14.5" x14ac:dyDescent="0.35">
      <c r="A9" t="s">
        <v>56</v>
      </c>
      <c r="B9" t="s">
        <v>23</v>
      </c>
      <c r="C9" t="s">
        <v>18</v>
      </c>
      <c r="D9" t="s">
        <v>12</v>
      </c>
      <c r="E9" t="s">
        <v>28</v>
      </c>
      <c r="F9">
        <v>75</v>
      </c>
      <c r="G9">
        <v>53</v>
      </c>
      <c r="H9">
        <v>53</v>
      </c>
      <c r="I9" s="30">
        <f t="shared" si="0"/>
        <v>60.333333333333336</v>
      </c>
    </row>
    <row r="10" spans="1:9" ht="14.5" x14ac:dyDescent="0.35">
      <c r="A10" t="s">
        <v>57</v>
      </c>
      <c r="B10" t="s">
        <v>23</v>
      </c>
      <c r="C10" t="s">
        <v>16</v>
      </c>
      <c r="D10" t="s">
        <v>8</v>
      </c>
      <c r="E10" t="s">
        <v>28</v>
      </c>
      <c r="F10">
        <v>83</v>
      </c>
      <c r="G10">
        <v>47</v>
      </c>
      <c r="H10">
        <v>32</v>
      </c>
      <c r="I10" s="30">
        <f t="shared" si="0"/>
        <v>54</v>
      </c>
    </row>
    <row r="11" spans="1:9" ht="14.5" x14ac:dyDescent="0.35">
      <c r="A11" t="s">
        <v>58</v>
      </c>
      <c r="B11" t="s">
        <v>23</v>
      </c>
      <c r="C11" t="s">
        <v>16</v>
      </c>
      <c r="D11" t="s">
        <v>13</v>
      </c>
      <c r="E11" t="s">
        <v>28</v>
      </c>
      <c r="F11">
        <v>79</v>
      </c>
      <c r="G11">
        <v>59</v>
      </c>
      <c r="H11">
        <v>65</v>
      </c>
      <c r="I11" s="30">
        <f t="shared" si="0"/>
        <v>67.666666666666671</v>
      </c>
    </row>
    <row r="12" spans="1:9" ht="14.5" x14ac:dyDescent="0.35">
      <c r="A12" t="s">
        <v>33</v>
      </c>
      <c r="B12" t="s">
        <v>23</v>
      </c>
      <c r="C12" t="s">
        <v>18</v>
      </c>
      <c r="D12" t="s">
        <v>10</v>
      </c>
      <c r="E12" t="s">
        <v>27</v>
      </c>
      <c r="F12">
        <v>84</v>
      </c>
      <c r="G12">
        <v>69</v>
      </c>
      <c r="H12">
        <v>81</v>
      </c>
      <c r="I12" s="30">
        <f t="shared" si="0"/>
        <v>78</v>
      </c>
    </row>
    <row r="13" spans="1:9" ht="14.5" x14ac:dyDescent="0.35">
      <c r="A13" t="s">
        <v>59</v>
      </c>
      <c r="B13" t="s">
        <v>23</v>
      </c>
      <c r="C13" t="s">
        <v>19</v>
      </c>
      <c r="D13" t="s">
        <v>11</v>
      </c>
      <c r="E13" t="s">
        <v>28</v>
      </c>
      <c r="F13">
        <v>58</v>
      </c>
      <c r="G13">
        <v>73</v>
      </c>
      <c r="H13">
        <v>45</v>
      </c>
      <c r="I13" s="30">
        <f t="shared" si="0"/>
        <v>58.666666666666664</v>
      </c>
    </row>
    <row r="14" spans="1:9" ht="14.5" x14ac:dyDescent="0.35">
      <c r="A14" t="s">
        <v>41</v>
      </c>
      <c r="B14" t="s">
        <v>23</v>
      </c>
      <c r="C14" t="s">
        <v>17</v>
      </c>
      <c r="D14" t="s">
        <v>12</v>
      </c>
      <c r="E14" t="s">
        <v>28</v>
      </c>
      <c r="F14">
        <v>84</v>
      </c>
      <c r="G14">
        <v>67</v>
      </c>
      <c r="H14">
        <v>64</v>
      </c>
      <c r="I14" s="30">
        <f t="shared" si="0"/>
        <v>71.666666666666671</v>
      </c>
    </row>
    <row r="15" spans="1:9" ht="14.5" x14ac:dyDescent="0.35">
      <c r="A15" t="s">
        <v>60</v>
      </c>
      <c r="B15" t="s">
        <v>24</v>
      </c>
      <c r="C15" t="s">
        <v>17</v>
      </c>
      <c r="D15" t="s">
        <v>11</v>
      </c>
      <c r="E15" t="s">
        <v>28</v>
      </c>
      <c r="F15">
        <v>72</v>
      </c>
      <c r="G15">
        <v>46</v>
      </c>
      <c r="H15">
        <v>55</v>
      </c>
      <c r="I15" s="30">
        <f t="shared" si="0"/>
        <v>57.666666666666664</v>
      </c>
    </row>
    <row r="16" spans="1:9" ht="14.5" x14ac:dyDescent="0.35">
      <c r="A16" t="s">
        <v>61</v>
      </c>
      <c r="B16" t="s">
        <v>23</v>
      </c>
      <c r="C16" t="s">
        <v>16</v>
      </c>
      <c r="D16" t="s">
        <v>13</v>
      </c>
      <c r="E16" t="s">
        <v>28</v>
      </c>
      <c r="F16">
        <v>60</v>
      </c>
      <c r="G16">
        <v>67</v>
      </c>
      <c r="H16">
        <v>68</v>
      </c>
      <c r="I16" s="30">
        <f t="shared" si="0"/>
        <v>65</v>
      </c>
    </row>
    <row r="17" spans="1:9" ht="14.5" x14ac:dyDescent="0.35">
      <c r="A17" t="s">
        <v>62</v>
      </c>
      <c r="B17" t="s">
        <v>24</v>
      </c>
      <c r="C17" t="s">
        <v>20</v>
      </c>
      <c r="D17" t="s">
        <v>10</v>
      </c>
      <c r="E17" t="s">
        <v>27</v>
      </c>
      <c r="F17">
        <v>67</v>
      </c>
      <c r="G17">
        <v>74</v>
      </c>
      <c r="H17">
        <v>57</v>
      </c>
      <c r="I17" s="30">
        <f t="shared" si="0"/>
        <v>66</v>
      </c>
    </row>
    <row r="18" spans="1:9" ht="14.5" x14ac:dyDescent="0.35">
      <c r="A18" t="s">
        <v>63</v>
      </c>
      <c r="B18" t="s">
        <v>23</v>
      </c>
      <c r="C18" t="s">
        <v>18</v>
      </c>
      <c r="D18" t="s">
        <v>11</v>
      </c>
      <c r="E18" t="s">
        <v>28</v>
      </c>
      <c r="F18">
        <v>57</v>
      </c>
      <c r="G18">
        <v>36</v>
      </c>
      <c r="H18">
        <v>64</v>
      </c>
      <c r="I18" s="30">
        <f t="shared" si="0"/>
        <v>52.333333333333336</v>
      </c>
    </row>
    <row r="19" spans="1:9" ht="14.5" x14ac:dyDescent="0.35">
      <c r="A19" t="s">
        <v>64</v>
      </c>
      <c r="B19" t="s">
        <v>24</v>
      </c>
      <c r="C19" t="s">
        <v>18</v>
      </c>
      <c r="D19" t="s">
        <v>11</v>
      </c>
      <c r="E19" t="s">
        <v>28</v>
      </c>
      <c r="F19">
        <v>56</v>
      </c>
      <c r="G19">
        <v>39</v>
      </c>
      <c r="H19">
        <v>52</v>
      </c>
      <c r="I19" s="30">
        <f t="shared" si="0"/>
        <v>49</v>
      </c>
    </row>
    <row r="20" spans="1:9" ht="14.5" x14ac:dyDescent="0.35">
      <c r="A20" t="s">
        <v>65</v>
      </c>
      <c r="B20" t="s">
        <v>23</v>
      </c>
      <c r="C20" t="s">
        <v>19</v>
      </c>
      <c r="D20" t="s">
        <v>10</v>
      </c>
      <c r="E20" t="s">
        <v>28</v>
      </c>
      <c r="F20">
        <v>41</v>
      </c>
      <c r="G20">
        <v>61</v>
      </c>
      <c r="H20">
        <v>63</v>
      </c>
      <c r="I20" s="30">
        <f t="shared" si="0"/>
        <v>55</v>
      </c>
    </row>
    <row r="21" spans="1:9" ht="15.75" customHeight="1" x14ac:dyDescent="0.35">
      <c r="A21" t="s">
        <v>66</v>
      </c>
      <c r="B21" t="s">
        <v>23</v>
      </c>
      <c r="C21" t="s">
        <v>16</v>
      </c>
      <c r="D21" t="s">
        <v>9</v>
      </c>
      <c r="E21" t="s">
        <v>28</v>
      </c>
      <c r="F21">
        <v>74</v>
      </c>
      <c r="G21">
        <v>51</v>
      </c>
      <c r="H21">
        <v>71</v>
      </c>
      <c r="I21" s="30">
        <f t="shared" si="0"/>
        <v>65.333333333333329</v>
      </c>
    </row>
    <row r="22" spans="1:9" ht="15.75" customHeight="1" x14ac:dyDescent="0.35">
      <c r="A22" t="s">
        <v>67</v>
      </c>
      <c r="B22" t="s">
        <v>24</v>
      </c>
      <c r="C22" t="s">
        <v>20</v>
      </c>
      <c r="D22" t="s">
        <v>12</v>
      </c>
      <c r="E22" t="s">
        <v>28</v>
      </c>
      <c r="F22">
        <v>55</v>
      </c>
      <c r="G22">
        <v>50</v>
      </c>
      <c r="H22">
        <v>61</v>
      </c>
      <c r="I22" s="30">
        <f t="shared" si="0"/>
        <v>55.333333333333336</v>
      </c>
    </row>
    <row r="23" spans="1:9" ht="15.75" customHeight="1" x14ac:dyDescent="0.35">
      <c r="A23" t="s">
        <v>68</v>
      </c>
      <c r="B23" t="s">
        <v>23</v>
      </c>
      <c r="C23" t="s">
        <v>18</v>
      </c>
      <c r="D23" t="s">
        <v>13</v>
      </c>
      <c r="E23" t="s">
        <v>28</v>
      </c>
      <c r="F23">
        <v>44</v>
      </c>
      <c r="G23">
        <v>67</v>
      </c>
      <c r="H23">
        <v>38</v>
      </c>
      <c r="I23" s="30">
        <f t="shared" si="0"/>
        <v>49.666666666666664</v>
      </c>
    </row>
    <row r="24" spans="1:9" ht="15.75" customHeight="1" x14ac:dyDescent="0.35">
      <c r="A24" t="s">
        <v>69</v>
      </c>
      <c r="B24" t="s">
        <v>24</v>
      </c>
      <c r="C24" t="s">
        <v>16</v>
      </c>
      <c r="D24" t="s">
        <v>13</v>
      </c>
      <c r="E24" t="s">
        <v>28</v>
      </c>
      <c r="F24">
        <v>37</v>
      </c>
      <c r="G24">
        <v>63</v>
      </c>
      <c r="H24">
        <v>58</v>
      </c>
      <c r="I24" s="30">
        <f t="shared" si="0"/>
        <v>52.666666666666664</v>
      </c>
    </row>
    <row r="25" spans="1:9" ht="15.75" customHeight="1" x14ac:dyDescent="0.35">
      <c r="A25" t="s">
        <v>70</v>
      </c>
      <c r="B25" t="s">
        <v>23</v>
      </c>
      <c r="C25" t="s">
        <v>16</v>
      </c>
      <c r="D25" t="s">
        <v>11</v>
      </c>
      <c r="E25" t="s">
        <v>28</v>
      </c>
      <c r="F25">
        <v>50</v>
      </c>
      <c r="G25">
        <v>90</v>
      </c>
      <c r="H25">
        <v>51</v>
      </c>
      <c r="I25" s="30">
        <f t="shared" si="0"/>
        <v>63.666666666666664</v>
      </c>
    </row>
    <row r="26" spans="1:9" ht="15.75" customHeight="1" x14ac:dyDescent="0.35">
      <c r="A26" t="s">
        <v>71</v>
      </c>
      <c r="B26" t="s">
        <v>24</v>
      </c>
      <c r="C26" t="s">
        <v>16</v>
      </c>
      <c r="D26" t="s">
        <v>9</v>
      </c>
      <c r="E26" t="s">
        <v>27</v>
      </c>
      <c r="F26">
        <v>62</v>
      </c>
      <c r="G26">
        <v>66</v>
      </c>
      <c r="H26">
        <v>58</v>
      </c>
      <c r="I26" s="30">
        <f t="shared" si="0"/>
        <v>62</v>
      </c>
    </row>
    <row r="27" spans="1:9" ht="15.75" customHeight="1" x14ac:dyDescent="0.35">
      <c r="A27" t="s">
        <v>72</v>
      </c>
      <c r="B27" t="s">
        <v>24</v>
      </c>
      <c r="C27" t="s">
        <v>18</v>
      </c>
      <c r="D27" t="s">
        <v>10</v>
      </c>
      <c r="E27" t="s">
        <v>28</v>
      </c>
      <c r="F27">
        <v>45</v>
      </c>
      <c r="G27">
        <v>58</v>
      </c>
      <c r="H27">
        <v>78</v>
      </c>
      <c r="I27" s="30">
        <f t="shared" si="0"/>
        <v>60.333333333333336</v>
      </c>
    </row>
    <row r="28" spans="1:9" ht="15.75" customHeight="1" x14ac:dyDescent="0.35">
      <c r="A28" t="s">
        <v>73</v>
      </c>
      <c r="B28" t="s">
        <v>24</v>
      </c>
      <c r="C28" t="s">
        <v>18</v>
      </c>
      <c r="D28" t="s">
        <v>12</v>
      </c>
      <c r="E28" t="s">
        <v>27</v>
      </c>
      <c r="F28">
        <v>72</v>
      </c>
      <c r="G28">
        <v>47</v>
      </c>
      <c r="H28">
        <v>65</v>
      </c>
      <c r="I28" s="30">
        <f t="shared" si="0"/>
        <v>61.333333333333336</v>
      </c>
    </row>
    <row r="29" spans="1:9" ht="15.75" customHeight="1" x14ac:dyDescent="0.35">
      <c r="A29" t="s">
        <v>42</v>
      </c>
      <c r="B29" t="s">
        <v>23</v>
      </c>
      <c r="C29" t="s">
        <v>17</v>
      </c>
      <c r="D29" t="s">
        <v>12</v>
      </c>
      <c r="E29" t="s">
        <v>27</v>
      </c>
      <c r="F29">
        <v>80</v>
      </c>
      <c r="G29">
        <v>67</v>
      </c>
      <c r="H29">
        <v>68</v>
      </c>
      <c r="I29" s="30">
        <f t="shared" si="0"/>
        <v>71.666666666666671</v>
      </c>
    </row>
    <row r="30" spans="1:9" ht="15.75" customHeight="1" x14ac:dyDescent="0.35">
      <c r="A30" t="s">
        <v>74</v>
      </c>
      <c r="B30" t="s">
        <v>24</v>
      </c>
      <c r="C30" t="s">
        <v>16</v>
      </c>
      <c r="D30" t="s">
        <v>13</v>
      </c>
      <c r="E30" t="s">
        <v>28</v>
      </c>
      <c r="F30">
        <v>46</v>
      </c>
      <c r="G30">
        <v>60</v>
      </c>
      <c r="H30">
        <v>60</v>
      </c>
      <c r="I30" s="30">
        <f t="shared" si="0"/>
        <v>55.333333333333336</v>
      </c>
    </row>
    <row r="31" spans="1:9" ht="15.75" customHeight="1" x14ac:dyDescent="0.35">
      <c r="A31" t="s">
        <v>75</v>
      </c>
      <c r="B31" t="s">
        <v>23</v>
      </c>
      <c r="C31" t="s">
        <v>16</v>
      </c>
      <c r="D31" t="s">
        <v>13</v>
      </c>
      <c r="E31" t="s">
        <v>27</v>
      </c>
      <c r="F31">
        <v>61</v>
      </c>
      <c r="G31">
        <v>57</v>
      </c>
      <c r="H31">
        <v>77</v>
      </c>
      <c r="I31" s="30">
        <f t="shared" si="0"/>
        <v>65</v>
      </c>
    </row>
    <row r="32" spans="1:9" ht="15.75" customHeight="1" x14ac:dyDescent="0.35">
      <c r="A32" t="s">
        <v>76</v>
      </c>
      <c r="B32" t="s">
        <v>24</v>
      </c>
      <c r="C32" t="s">
        <v>19</v>
      </c>
      <c r="D32" t="s">
        <v>12</v>
      </c>
      <c r="E32" t="s">
        <v>28</v>
      </c>
      <c r="F32">
        <v>73</v>
      </c>
      <c r="G32">
        <v>55</v>
      </c>
      <c r="H32">
        <v>57</v>
      </c>
      <c r="I32" s="30">
        <f t="shared" si="0"/>
        <v>61.666666666666664</v>
      </c>
    </row>
    <row r="33" spans="1:9" ht="15.75" customHeight="1" x14ac:dyDescent="0.35">
      <c r="A33" t="s">
        <v>77</v>
      </c>
      <c r="B33" t="s">
        <v>24</v>
      </c>
      <c r="C33" t="s">
        <v>20</v>
      </c>
      <c r="D33" t="s">
        <v>12</v>
      </c>
      <c r="E33" t="s">
        <v>28</v>
      </c>
      <c r="F33">
        <v>73</v>
      </c>
      <c r="G33">
        <v>50</v>
      </c>
      <c r="H33">
        <v>64</v>
      </c>
      <c r="I33" s="30">
        <f t="shared" si="0"/>
        <v>62.333333333333336</v>
      </c>
    </row>
    <row r="34" spans="1:9" ht="15.75" customHeight="1" x14ac:dyDescent="0.35">
      <c r="A34" t="s">
        <v>78</v>
      </c>
      <c r="B34" t="s">
        <v>23</v>
      </c>
      <c r="C34" t="s">
        <v>18</v>
      </c>
      <c r="D34" t="s">
        <v>13</v>
      </c>
      <c r="E34" t="s">
        <v>27</v>
      </c>
      <c r="F34">
        <v>75</v>
      </c>
      <c r="G34">
        <v>50</v>
      </c>
      <c r="H34">
        <v>65</v>
      </c>
      <c r="I34" s="30">
        <f t="shared" ref="I34:I65" si="1">AVERAGE(F34:H34)</f>
        <v>63.333333333333336</v>
      </c>
    </row>
    <row r="35" spans="1:9" ht="15.75" customHeight="1" x14ac:dyDescent="0.35">
      <c r="A35" t="s">
        <v>79</v>
      </c>
      <c r="B35" t="s">
        <v>24</v>
      </c>
      <c r="C35" t="s">
        <v>17</v>
      </c>
      <c r="D35" t="s">
        <v>9</v>
      </c>
      <c r="E35" t="s">
        <v>28</v>
      </c>
      <c r="F35">
        <v>34</v>
      </c>
      <c r="G35">
        <v>50</v>
      </c>
      <c r="H35">
        <v>65</v>
      </c>
      <c r="I35" s="30">
        <f t="shared" si="1"/>
        <v>49.666666666666664</v>
      </c>
    </row>
    <row r="36" spans="1:9" ht="15.75" customHeight="1" x14ac:dyDescent="0.35">
      <c r="A36" t="s">
        <v>80</v>
      </c>
      <c r="B36" t="s">
        <v>24</v>
      </c>
      <c r="C36" t="s">
        <v>16</v>
      </c>
      <c r="D36" t="s">
        <v>10</v>
      </c>
      <c r="E36" t="s">
        <v>28</v>
      </c>
      <c r="F36">
        <v>70</v>
      </c>
      <c r="G36">
        <v>57</v>
      </c>
      <c r="H36">
        <v>51</v>
      </c>
      <c r="I36" s="30">
        <f t="shared" si="1"/>
        <v>59.333333333333336</v>
      </c>
    </row>
    <row r="37" spans="1:9" ht="15.75" customHeight="1" x14ac:dyDescent="0.35">
      <c r="A37" t="s">
        <v>81</v>
      </c>
      <c r="B37" t="s">
        <v>24</v>
      </c>
      <c r="C37" t="s">
        <v>18</v>
      </c>
      <c r="D37" t="s">
        <v>10</v>
      </c>
      <c r="E37" t="s">
        <v>28</v>
      </c>
      <c r="F37">
        <v>58</v>
      </c>
      <c r="G37">
        <v>39</v>
      </c>
      <c r="H37">
        <v>49</v>
      </c>
      <c r="I37" s="30">
        <f t="shared" si="1"/>
        <v>48.666666666666664</v>
      </c>
    </row>
    <row r="38" spans="1:9" ht="15.75" customHeight="1" x14ac:dyDescent="0.35">
      <c r="A38" t="s">
        <v>82</v>
      </c>
      <c r="B38" t="s">
        <v>23</v>
      </c>
      <c r="C38" t="s">
        <v>17</v>
      </c>
      <c r="D38" t="s">
        <v>9</v>
      </c>
      <c r="E38" t="s">
        <v>27</v>
      </c>
      <c r="F38">
        <v>49</v>
      </c>
      <c r="G38">
        <v>64</v>
      </c>
      <c r="H38">
        <v>42</v>
      </c>
      <c r="I38" s="30">
        <f t="shared" si="1"/>
        <v>51.666666666666664</v>
      </c>
    </row>
    <row r="39" spans="1:9" ht="15.75" customHeight="1" x14ac:dyDescent="0.35">
      <c r="A39" t="s">
        <v>83</v>
      </c>
      <c r="B39" t="s">
        <v>24</v>
      </c>
      <c r="C39" t="s">
        <v>16</v>
      </c>
      <c r="D39" t="s">
        <v>10</v>
      </c>
      <c r="E39" t="s">
        <v>28</v>
      </c>
      <c r="F39">
        <v>49</v>
      </c>
      <c r="G39">
        <v>70</v>
      </c>
      <c r="H39">
        <v>73</v>
      </c>
      <c r="I39" s="30">
        <f t="shared" si="1"/>
        <v>64</v>
      </c>
    </row>
    <row r="40" spans="1:9" ht="15.75" customHeight="1" x14ac:dyDescent="0.35">
      <c r="A40" t="s">
        <v>84</v>
      </c>
      <c r="B40" t="s">
        <v>23</v>
      </c>
      <c r="C40" t="s">
        <v>18</v>
      </c>
      <c r="D40" t="s">
        <v>10</v>
      </c>
      <c r="E40" t="s">
        <v>27</v>
      </c>
      <c r="F40">
        <v>65</v>
      </c>
      <c r="G40">
        <v>53</v>
      </c>
      <c r="H40">
        <v>73</v>
      </c>
      <c r="I40" s="30">
        <f t="shared" si="1"/>
        <v>63.666666666666664</v>
      </c>
    </row>
    <row r="41" spans="1:9" ht="15.75" customHeight="1" x14ac:dyDescent="0.35">
      <c r="A41" t="s">
        <v>85</v>
      </c>
      <c r="B41" t="s">
        <v>23</v>
      </c>
      <c r="C41" t="s">
        <v>18</v>
      </c>
      <c r="D41" t="s">
        <v>8</v>
      </c>
      <c r="E41" t="s">
        <v>28</v>
      </c>
      <c r="F41">
        <v>55</v>
      </c>
      <c r="G41">
        <v>64</v>
      </c>
      <c r="H41">
        <v>64</v>
      </c>
      <c r="I41" s="30">
        <f t="shared" si="1"/>
        <v>61</v>
      </c>
    </row>
    <row r="42" spans="1:9" ht="15.75" customHeight="1" x14ac:dyDescent="0.35">
      <c r="A42" t="s">
        <v>39</v>
      </c>
      <c r="B42" t="s">
        <v>23</v>
      </c>
      <c r="C42" t="s">
        <v>20</v>
      </c>
      <c r="D42" t="s">
        <v>9</v>
      </c>
      <c r="E42" t="s">
        <v>27</v>
      </c>
      <c r="F42">
        <v>87</v>
      </c>
      <c r="G42">
        <v>62</v>
      </c>
      <c r="H42">
        <v>69</v>
      </c>
      <c r="I42" s="30">
        <f t="shared" si="1"/>
        <v>72.666666666666671</v>
      </c>
    </row>
    <row r="43" spans="1:9" ht="15.75" customHeight="1" x14ac:dyDescent="0.35">
      <c r="A43" t="s">
        <v>86</v>
      </c>
      <c r="B43" t="s">
        <v>23</v>
      </c>
      <c r="C43" t="s">
        <v>20</v>
      </c>
      <c r="D43" t="s">
        <v>12</v>
      </c>
      <c r="E43" t="s">
        <v>28</v>
      </c>
      <c r="F43">
        <v>45</v>
      </c>
      <c r="G43">
        <v>44</v>
      </c>
      <c r="H43">
        <v>63</v>
      </c>
      <c r="I43" s="30">
        <f t="shared" si="1"/>
        <v>50.666666666666664</v>
      </c>
    </row>
    <row r="44" spans="1:9" ht="15.75" customHeight="1" x14ac:dyDescent="0.35">
      <c r="A44" t="s">
        <v>87</v>
      </c>
      <c r="B44" t="s">
        <v>24</v>
      </c>
      <c r="C44" t="s">
        <v>19</v>
      </c>
      <c r="D44" t="s">
        <v>11</v>
      </c>
      <c r="E44" t="s">
        <v>28</v>
      </c>
      <c r="F44">
        <v>75</v>
      </c>
      <c r="G44">
        <v>43</v>
      </c>
      <c r="H44">
        <v>49</v>
      </c>
      <c r="I44" s="30">
        <f t="shared" si="1"/>
        <v>55.666666666666664</v>
      </c>
    </row>
    <row r="45" spans="1:9" ht="15.75" customHeight="1" x14ac:dyDescent="0.35">
      <c r="A45" t="s">
        <v>35</v>
      </c>
      <c r="B45" t="s">
        <v>24</v>
      </c>
      <c r="C45" t="s">
        <v>16</v>
      </c>
      <c r="D45" t="s">
        <v>9</v>
      </c>
      <c r="E45" t="s">
        <v>27</v>
      </c>
      <c r="F45">
        <v>97</v>
      </c>
      <c r="G45">
        <v>71</v>
      </c>
      <c r="H45">
        <v>60</v>
      </c>
      <c r="I45" s="30">
        <f t="shared" si="1"/>
        <v>76</v>
      </c>
    </row>
    <row r="46" spans="1:9" ht="15.75" customHeight="1" x14ac:dyDescent="0.35">
      <c r="A46" t="s">
        <v>88</v>
      </c>
      <c r="B46" t="s">
        <v>23</v>
      </c>
      <c r="C46" t="s">
        <v>19</v>
      </c>
      <c r="D46" t="s">
        <v>12</v>
      </c>
      <c r="E46" t="s">
        <v>27</v>
      </c>
      <c r="F46">
        <v>76</v>
      </c>
      <c r="G46">
        <v>53</v>
      </c>
      <c r="H46">
        <v>79</v>
      </c>
      <c r="I46" s="30">
        <f t="shared" si="1"/>
        <v>69.333333333333329</v>
      </c>
    </row>
    <row r="47" spans="1:9" ht="15.75" customHeight="1" x14ac:dyDescent="0.35">
      <c r="A47" t="s">
        <v>89</v>
      </c>
      <c r="B47" t="s">
        <v>24</v>
      </c>
      <c r="C47" t="s">
        <v>19</v>
      </c>
      <c r="D47" t="s">
        <v>8</v>
      </c>
      <c r="E47" t="s">
        <v>28</v>
      </c>
      <c r="F47">
        <v>60</v>
      </c>
      <c r="G47">
        <v>46</v>
      </c>
      <c r="H47">
        <v>48</v>
      </c>
      <c r="I47" s="30">
        <f t="shared" si="1"/>
        <v>51.333333333333336</v>
      </c>
    </row>
    <row r="48" spans="1:9" ht="15.75" customHeight="1" x14ac:dyDescent="0.35">
      <c r="A48" t="s">
        <v>90</v>
      </c>
      <c r="B48" t="s">
        <v>24</v>
      </c>
      <c r="C48" t="s">
        <v>17</v>
      </c>
      <c r="D48" t="s">
        <v>8</v>
      </c>
      <c r="E48" t="s">
        <v>28</v>
      </c>
      <c r="F48">
        <v>56</v>
      </c>
      <c r="G48">
        <v>52</v>
      </c>
      <c r="H48">
        <v>52</v>
      </c>
      <c r="I48" s="30">
        <f t="shared" si="1"/>
        <v>53.333333333333336</v>
      </c>
    </row>
    <row r="49" spans="1:9" ht="15.75" customHeight="1" x14ac:dyDescent="0.35">
      <c r="A49" t="s">
        <v>91</v>
      </c>
      <c r="B49" t="s">
        <v>23</v>
      </c>
      <c r="C49" t="s">
        <v>19</v>
      </c>
      <c r="D49" t="s">
        <v>10</v>
      </c>
      <c r="E49" t="s">
        <v>27</v>
      </c>
      <c r="F49">
        <v>50</v>
      </c>
      <c r="G49">
        <v>65</v>
      </c>
      <c r="H49">
        <v>71</v>
      </c>
      <c r="I49" s="30">
        <f t="shared" si="1"/>
        <v>62</v>
      </c>
    </row>
    <row r="50" spans="1:9" ht="15.75" customHeight="1" x14ac:dyDescent="0.35">
      <c r="A50" t="s">
        <v>92</v>
      </c>
      <c r="B50" t="s">
        <v>24</v>
      </c>
      <c r="C50" t="s">
        <v>20</v>
      </c>
      <c r="D50" t="s">
        <v>13</v>
      </c>
      <c r="E50" t="s">
        <v>28</v>
      </c>
      <c r="F50">
        <v>67</v>
      </c>
      <c r="G50">
        <v>68</v>
      </c>
      <c r="H50">
        <v>69</v>
      </c>
      <c r="I50" s="30">
        <f t="shared" si="1"/>
        <v>68</v>
      </c>
    </row>
    <row r="51" spans="1:9" ht="15.75" customHeight="1" x14ac:dyDescent="0.35">
      <c r="A51" t="s">
        <v>93</v>
      </c>
      <c r="B51" t="s">
        <v>24</v>
      </c>
      <c r="C51" t="s">
        <v>18</v>
      </c>
      <c r="D51" t="s">
        <v>8</v>
      </c>
      <c r="E51" t="s">
        <v>28</v>
      </c>
      <c r="F51">
        <v>37</v>
      </c>
      <c r="G51">
        <v>48</v>
      </c>
      <c r="H51">
        <v>66</v>
      </c>
      <c r="I51" s="30">
        <f t="shared" si="1"/>
        <v>50.333333333333336</v>
      </c>
    </row>
    <row r="52" spans="1:9" ht="15.75" customHeight="1" x14ac:dyDescent="0.35">
      <c r="A52" t="s">
        <v>94</v>
      </c>
      <c r="B52" t="s">
        <v>23</v>
      </c>
      <c r="C52" t="s">
        <v>18</v>
      </c>
      <c r="D52" t="s">
        <v>10</v>
      </c>
      <c r="E52" t="s">
        <v>28</v>
      </c>
      <c r="F52">
        <v>75</v>
      </c>
      <c r="G52">
        <v>42</v>
      </c>
      <c r="H52">
        <v>46</v>
      </c>
      <c r="I52" s="30">
        <f t="shared" si="1"/>
        <v>54.333333333333336</v>
      </c>
    </row>
    <row r="53" spans="1:9" ht="15.75" customHeight="1" x14ac:dyDescent="0.35">
      <c r="A53" t="s">
        <v>95</v>
      </c>
      <c r="B53" t="s">
        <v>23</v>
      </c>
      <c r="C53" t="s">
        <v>16</v>
      </c>
      <c r="D53" t="s">
        <v>8</v>
      </c>
      <c r="E53" t="s">
        <v>28</v>
      </c>
      <c r="F53">
        <v>43</v>
      </c>
      <c r="G53">
        <v>56</v>
      </c>
      <c r="H53">
        <v>59</v>
      </c>
      <c r="I53" s="30">
        <f t="shared" si="1"/>
        <v>52.666666666666664</v>
      </c>
    </row>
    <row r="54" spans="1:9" ht="15.75" customHeight="1" x14ac:dyDescent="0.35">
      <c r="A54" t="s">
        <v>96</v>
      </c>
      <c r="B54" t="s">
        <v>23</v>
      </c>
      <c r="C54" t="s">
        <v>16</v>
      </c>
      <c r="D54" t="s">
        <v>9</v>
      </c>
      <c r="E54" t="s">
        <v>28</v>
      </c>
      <c r="F54">
        <v>52</v>
      </c>
      <c r="G54">
        <v>67</v>
      </c>
      <c r="H54">
        <v>64</v>
      </c>
      <c r="I54" s="30">
        <f t="shared" si="1"/>
        <v>61</v>
      </c>
    </row>
    <row r="55" spans="1:9" ht="15.75" customHeight="1" x14ac:dyDescent="0.35">
      <c r="A55" t="s">
        <v>97</v>
      </c>
      <c r="B55" t="s">
        <v>24</v>
      </c>
      <c r="C55" t="s">
        <v>20</v>
      </c>
      <c r="D55" t="s">
        <v>11</v>
      </c>
      <c r="E55" t="s">
        <v>27</v>
      </c>
      <c r="F55">
        <v>62</v>
      </c>
      <c r="G55">
        <v>49</v>
      </c>
      <c r="H55">
        <v>80</v>
      </c>
      <c r="I55" s="30">
        <f t="shared" si="1"/>
        <v>63.666666666666664</v>
      </c>
    </row>
    <row r="56" spans="1:9" ht="15.75" customHeight="1" x14ac:dyDescent="0.35">
      <c r="A56" t="s">
        <v>98</v>
      </c>
      <c r="B56" t="s">
        <v>23</v>
      </c>
      <c r="C56" t="s">
        <v>19</v>
      </c>
      <c r="D56" t="s">
        <v>10</v>
      </c>
      <c r="E56" t="s">
        <v>28</v>
      </c>
      <c r="F56">
        <v>72</v>
      </c>
      <c r="G56">
        <v>68</v>
      </c>
      <c r="H56">
        <v>51</v>
      </c>
      <c r="I56" s="30">
        <f t="shared" si="1"/>
        <v>63.666666666666664</v>
      </c>
    </row>
    <row r="57" spans="1:9" ht="15.75" customHeight="1" x14ac:dyDescent="0.35">
      <c r="A57" t="s">
        <v>99</v>
      </c>
      <c r="B57" t="s">
        <v>24</v>
      </c>
      <c r="C57" t="s">
        <v>17</v>
      </c>
      <c r="D57" t="s">
        <v>9</v>
      </c>
      <c r="E57" t="s">
        <v>27</v>
      </c>
      <c r="F57">
        <v>61</v>
      </c>
      <c r="G57">
        <v>51</v>
      </c>
      <c r="H57">
        <v>57</v>
      </c>
      <c r="I57" s="30">
        <f t="shared" si="1"/>
        <v>56.333333333333336</v>
      </c>
    </row>
    <row r="58" spans="1:9" ht="15.75" customHeight="1" x14ac:dyDescent="0.35">
      <c r="A58" t="s">
        <v>100</v>
      </c>
      <c r="B58" t="s">
        <v>23</v>
      </c>
      <c r="C58" t="s">
        <v>16</v>
      </c>
      <c r="D58" t="s">
        <v>11</v>
      </c>
      <c r="E58" t="s">
        <v>28</v>
      </c>
      <c r="F58">
        <v>40</v>
      </c>
      <c r="G58">
        <v>30</v>
      </c>
      <c r="H58">
        <v>61</v>
      </c>
      <c r="I58" s="30">
        <f t="shared" si="1"/>
        <v>43.666666666666664</v>
      </c>
    </row>
    <row r="59" spans="1:9" ht="15.75" customHeight="1" x14ac:dyDescent="0.35">
      <c r="A59" t="s">
        <v>101</v>
      </c>
      <c r="B59" t="s">
        <v>24</v>
      </c>
      <c r="C59" t="s">
        <v>20</v>
      </c>
      <c r="D59" t="s">
        <v>11</v>
      </c>
      <c r="E59" t="s">
        <v>28</v>
      </c>
      <c r="F59">
        <v>35</v>
      </c>
      <c r="G59">
        <v>59</v>
      </c>
      <c r="H59">
        <v>52</v>
      </c>
      <c r="I59" s="30">
        <f t="shared" si="1"/>
        <v>48.666666666666664</v>
      </c>
    </row>
    <row r="60" spans="1:9" ht="15.75" customHeight="1" x14ac:dyDescent="0.35">
      <c r="A60" t="s">
        <v>102</v>
      </c>
      <c r="B60" t="s">
        <v>23</v>
      </c>
      <c r="C60" t="s">
        <v>20</v>
      </c>
      <c r="D60" t="s">
        <v>10</v>
      </c>
      <c r="E60" t="s">
        <v>28</v>
      </c>
      <c r="F60">
        <v>54</v>
      </c>
      <c r="G60">
        <v>68</v>
      </c>
      <c r="H60">
        <v>42</v>
      </c>
      <c r="I60" s="30">
        <f t="shared" si="1"/>
        <v>54.666666666666664</v>
      </c>
    </row>
    <row r="61" spans="1:9" ht="15.75" customHeight="1" x14ac:dyDescent="0.35">
      <c r="A61" t="s">
        <v>103</v>
      </c>
      <c r="B61" t="s">
        <v>24</v>
      </c>
      <c r="C61" t="s">
        <v>16</v>
      </c>
      <c r="D61" t="s">
        <v>9</v>
      </c>
      <c r="E61" t="s">
        <v>28</v>
      </c>
      <c r="F61">
        <v>73</v>
      </c>
      <c r="G61">
        <v>57</v>
      </c>
      <c r="H61">
        <v>73</v>
      </c>
      <c r="I61" s="30">
        <f t="shared" si="1"/>
        <v>67.666666666666671</v>
      </c>
    </row>
    <row r="62" spans="1:9" ht="15.75" customHeight="1" x14ac:dyDescent="0.35">
      <c r="A62" t="s">
        <v>104</v>
      </c>
      <c r="B62" t="s">
        <v>24</v>
      </c>
      <c r="C62" t="s">
        <v>20</v>
      </c>
      <c r="D62" t="s">
        <v>8</v>
      </c>
      <c r="E62" t="s">
        <v>28</v>
      </c>
      <c r="F62">
        <v>49</v>
      </c>
      <c r="G62">
        <v>44</v>
      </c>
      <c r="H62">
        <v>50</v>
      </c>
      <c r="I62" s="30">
        <f t="shared" si="1"/>
        <v>47.666666666666664</v>
      </c>
    </row>
    <row r="63" spans="1:9" ht="15.75" customHeight="1" x14ac:dyDescent="0.35">
      <c r="A63" t="s">
        <v>105</v>
      </c>
      <c r="B63" t="s">
        <v>23</v>
      </c>
      <c r="C63" t="s">
        <v>20</v>
      </c>
      <c r="D63" t="s">
        <v>12</v>
      </c>
      <c r="E63" t="s">
        <v>27</v>
      </c>
      <c r="F63">
        <v>77</v>
      </c>
      <c r="G63">
        <v>57</v>
      </c>
      <c r="H63">
        <v>55</v>
      </c>
      <c r="I63" s="30">
        <f t="shared" si="1"/>
        <v>63</v>
      </c>
    </row>
    <row r="64" spans="1:9" ht="15.75" customHeight="1" x14ac:dyDescent="0.35">
      <c r="A64" t="s">
        <v>106</v>
      </c>
      <c r="B64" t="s">
        <v>24</v>
      </c>
      <c r="C64" t="s">
        <v>20</v>
      </c>
      <c r="D64" t="s">
        <v>9</v>
      </c>
      <c r="E64" t="s">
        <v>27</v>
      </c>
      <c r="F64">
        <v>68</v>
      </c>
      <c r="G64">
        <v>65</v>
      </c>
      <c r="H64">
        <v>54</v>
      </c>
      <c r="I64" s="30">
        <f t="shared" si="1"/>
        <v>62.333333333333336</v>
      </c>
    </row>
    <row r="65" spans="1:9" ht="15.75" customHeight="1" x14ac:dyDescent="0.35">
      <c r="A65" t="s">
        <v>107</v>
      </c>
      <c r="B65" t="s">
        <v>23</v>
      </c>
      <c r="C65" t="s">
        <v>16</v>
      </c>
      <c r="D65" t="s">
        <v>8</v>
      </c>
      <c r="E65" t="s">
        <v>27</v>
      </c>
      <c r="F65">
        <v>78</v>
      </c>
      <c r="G65">
        <v>52</v>
      </c>
      <c r="H65">
        <v>71</v>
      </c>
      <c r="I65" s="30">
        <f t="shared" si="1"/>
        <v>67</v>
      </c>
    </row>
    <row r="66" spans="1:9" ht="15.75" customHeight="1" x14ac:dyDescent="0.35">
      <c r="A66" t="s">
        <v>108</v>
      </c>
      <c r="B66" t="s">
        <v>23</v>
      </c>
      <c r="C66" t="s">
        <v>20</v>
      </c>
      <c r="D66" t="s">
        <v>8</v>
      </c>
      <c r="E66" t="s">
        <v>27</v>
      </c>
      <c r="F66">
        <v>62</v>
      </c>
      <c r="G66">
        <v>65</v>
      </c>
      <c r="H66">
        <v>71</v>
      </c>
      <c r="I66" s="30">
        <f t="shared" ref="I66:I97" si="2">AVERAGE(F66:H66)</f>
        <v>66</v>
      </c>
    </row>
    <row r="67" spans="1:9" ht="15.75" customHeight="1" x14ac:dyDescent="0.35">
      <c r="A67" t="s">
        <v>109</v>
      </c>
      <c r="B67" t="s">
        <v>24</v>
      </c>
      <c r="C67" t="s">
        <v>17</v>
      </c>
      <c r="D67" t="s">
        <v>11</v>
      </c>
      <c r="E67" t="s">
        <v>27</v>
      </c>
      <c r="F67">
        <v>50</v>
      </c>
      <c r="G67">
        <v>72</v>
      </c>
      <c r="H67">
        <v>82</v>
      </c>
      <c r="I67" s="30">
        <f t="shared" si="2"/>
        <v>68</v>
      </c>
    </row>
    <row r="68" spans="1:9" ht="15.75" customHeight="1" x14ac:dyDescent="0.35">
      <c r="A68" t="s">
        <v>110</v>
      </c>
      <c r="B68" t="s">
        <v>24</v>
      </c>
      <c r="C68" t="s">
        <v>18</v>
      </c>
      <c r="D68" t="s">
        <v>8</v>
      </c>
      <c r="E68" t="s">
        <v>27</v>
      </c>
      <c r="F68">
        <v>69</v>
      </c>
      <c r="G68">
        <v>67</v>
      </c>
      <c r="H68">
        <v>60</v>
      </c>
      <c r="I68" s="30">
        <f t="shared" si="2"/>
        <v>65.333333333333329</v>
      </c>
    </row>
    <row r="69" spans="1:9" ht="15.75" customHeight="1" x14ac:dyDescent="0.35">
      <c r="A69" t="s">
        <v>111</v>
      </c>
      <c r="B69" t="s">
        <v>24</v>
      </c>
      <c r="C69" t="s">
        <v>20</v>
      </c>
      <c r="D69" t="s">
        <v>8</v>
      </c>
      <c r="E69" t="s">
        <v>28</v>
      </c>
      <c r="F69">
        <v>63</v>
      </c>
      <c r="G69">
        <v>75</v>
      </c>
      <c r="H69">
        <v>53</v>
      </c>
      <c r="I69" s="30">
        <f t="shared" si="2"/>
        <v>63.666666666666664</v>
      </c>
    </row>
    <row r="70" spans="1:9" ht="15.75" customHeight="1" x14ac:dyDescent="0.35">
      <c r="A70" t="s">
        <v>36</v>
      </c>
      <c r="B70" t="s">
        <v>23</v>
      </c>
      <c r="C70" t="s">
        <v>16</v>
      </c>
      <c r="D70" t="s">
        <v>9</v>
      </c>
      <c r="E70" t="s">
        <v>27</v>
      </c>
      <c r="F70">
        <v>72</v>
      </c>
      <c r="G70">
        <v>68</v>
      </c>
      <c r="H70">
        <v>86</v>
      </c>
      <c r="I70" s="30">
        <f t="shared" si="2"/>
        <v>75.333333333333329</v>
      </c>
    </row>
    <row r="71" spans="1:9" ht="15.75" customHeight="1" x14ac:dyDescent="0.35">
      <c r="A71" t="s">
        <v>34</v>
      </c>
      <c r="B71" t="s">
        <v>24</v>
      </c>
      <c r="C71" t="s">
        <v>19</v>
      </c>
      <c r="D71" t="s">
        <v>11</v>
      </c>
      <c r="E71" t="s">
        <v>27</v>
      </c>
      <c r="F71">
        <v>76</v>
      </c>
      <c r="G71">
        <v>85</v>
      </c>
      <c r="H71">
        <v>72</v>
      </c>
      <c r="I71" s="30">
        <f t="shared" si="2"/>
        <v>77.666666666666671</v>
      </c>
    </row>
    <row r="72" spans="1:9" ht="15.75" customHeight="1" x14ac:dyDescent="0.35">
      <c r="A72" t="s">
        <v>112</v>
      </c>
      <c r="B72" t="s">
        <v>24</v>
      </c>
      <c r="C72" t="s">
        <v>17</v>
      </c>
      <c r="D72" t="s">
        <v>13</v>
      </c>
      <c r="E72" t="s">
        <v>27</v>
      </c>
      <c r="F72">
        <v>70</v>
      </c>
      <c r="G72">
        <v>75</v>
      </c>
      <c r="H72">
        <v>65</v>
      </c>
      <c r="I72" s="30">
        <f t="shared" si="2"/>
        <v>70</v>
      </c>
    </row>
    <row r="73" spans="1:9" ht="15.75" customHeight="1" x14ac:dyDescent="0.35">
      <c r="A73" t="s">
        <v>113</v>
      </c>
      <c r="B73" t="s">
        <v>23</v>
      </c>
      <c r="C73" t="s">
        <v>18</v>
      </c>
      <c r="D73" t="s">
        <v>10</v>
      </c>
      <c r="E73" t="s">
        <v>27</v>
      </c>
      <c r="F73">
        <v>71</v>
      </c>
      <c r="G73">
        <v>59</v>
      </c>
      <c r="H73">
        <v>60</v>
      </c>
      <c r="I73" s="30">
        <f t="shared" si="2"/>
        <v>63.333333333333336</v>
      </c>
    </row>
    <row r="74" spans="1:9" ht="15.75" customHeight="1" x14ac:dyDescent="0.35">
      <c r="A74" t="s">
        <v>40</v>
      </c>
      <c r="B74" t="s">
        <v>24</v>
      </c>
      <c r="C74" t="s">
        <v>16</v>
      </c>
      <c r="D74" t="s">
        <v>8</v>
      </c>
      <c r="E74" t="s">
        <v>27</v>
      </c>
      <c r="F74">
        <v>60</v>
      </c>
      <c r="G74">
        <v>80</v>
      </c>
      <c r="H74">
        <v>76</v>
      </c>
      <c r="I74" s="30">
        <f t="shared" si="2"/>
        <v>72</v>
      </c>
    </row>
    <row r="75" spans="1:9" ht="15.75" customHeight="1" x14ac:dyDescent="0.35">
      <c r="A75" t="s">
        <v>114</v>
      </c>
      <c r="B75" t="s">
        <v>23</v>
      </c>
      <c r="C75" t="s">
        <v>18</v>
      </c>
      <c r="D75" t="s">
        <v>8</v>
      </c>
      <c r="E75" t="s">
        <v>28</v>
      </c>
      <c r="F75">
        <v>57</v>
      </c>
      <c r="G75">
        <v>62</v>
      </c>
      <c r="H75">
        <v>34</v>
      </c>
      <c r="I75" s="30">
        <f t="shared" si="2"/>
        <v>51</v>
      </c>
    </row>
    <row r="76" spans="1:9" ht="15.75" customHeight="1" x14ac:dyDescent="0.35">
      <c r="A76" t="s">
        <v>115</v>
      </c>
      <c r="B76" t="s">
        <v>23</v>
      </c>
      <c r="C76" t="s">
        <v>20</v>
      </c>
      <c r="D76" t="s">
        <v>9</v>
      </c>
      <c r="E76" t="s">
        <v>28</v>
      </c>
      <c r="F76">
        <v>58</v>
      </c>
      <c r="G76">
        <v>62</v>
      </c>
      <c r="H76">
        <v>63</v>
      </c>
      <c r="I76" s="30">
        <f t="shared" si="2"/>
        <v>61</v>
      </c>
    </row>
    <row r="77" spans="1:9" ht="15.75" customHeight="1" x14ac:dyDescent="0.35">
      <c r="A77" t="s">
        <v>116</v>
      </c>
      <c r="B77" t="s">
        <v>24</v>
      </c>
      <c r="C77" t="s">
        <v>17</v>
      </c>
      <c r="D77" t="s">
        <v>13</v>
      </c>
      <c r="E77" t="s">
        <v>28</v>
      </c>
      <c r="F77">
        <v>50</v>
      </c>
      <c r="G77">
        <v>38</v>
      </c>
      <c r="H77">
        <v>61</v>
      </c>
      <c r="I77" s="30">
        <f t="shared" si="2"/>
        <v>49.666666666666664</v>
      </c>
    </row>
    <row r="78" spans="1:9" ht="15.75" customHeight="1" x14ac:dyDescent="0.35">
      <c r="A78" t="s">
        <v>117</v>
      </c>
      <c r="B78" t="s">
        <v>24</v>
      </c>
      <c r="C78" t="s">
        <v>16</v>
      </c>
      <c r="D78" t="s">
        <v>8</v>
      </c>
      <c r="E78" t="s">
        <v>27</v>
      </c>
      <c r="F78">
        <v>59</v>
      </c>
      <c r="G78">
        <v>47</v>
      </c>
      <c r="H78">
        <v>70</v>
      </c>
      <c r="I78" s="30">
        <f t="shared" si="2"/>
        <v>58.666666666666664</v>
      </c>
    </row>
    <row r="79" spans="1:9" ht="15.75" customHeight="1" x14ac:dyDescent="0.35">
      <c r="A79" t="s">
        <v>118</v>
      </c>
      <c r="B79" t="s">
        <v>23</v>
      </c>
      <c r="C79" t="s">
        <v>17</v>
      </c>
      <c r="D79" t="s">
        <v>8</v>
      </c>
      <c r="E79" t="s">
        <v>28</v>
      </c>
      <c r="F79">
        <v>71</v>
      </c>
      <c r="G79">
        <v>49</v>
      </c>
      <c r="H79">
        <v>61</v>
      </c>
      <c r="I79" s="30">
        <f t="shared" si="2"/>
        <v>60.333333333333336</v>
      </c>
    </row>
    <row r="80" spans="1:9" ht="15.75" customHeight="1" x14ac:dyDescent="0.35">
      <c r="A80" t="s">
        <v>38</v>
      </c>
      <c r="B80" t="s">
        <v>24</v>
      </c>
      <c r="C80" t="s">
        <v>19</v>
      </c>
      <c r="D80" t="s">
        <v>10</v>
      </c>
      <c r="E80" t="s">
        <v>27</v>
      </c>
      <c r="F80">
        <v>90</v>
      </c>
      <c r="G80">
        <v>61</v>
      </c>
      <c r="H80">
        <v>67</v>
      </c>
      <c r="I80" s="30">
        <f t="shared" si="2"/>
        <v>72.666666666666671</v>
      </c>
    </row>
    <row r="81" spans="1:9" ht="15.75" customHeight="1" x14ac:dyDescent="0.35">
      <c r="A81" t="s">
        <v>119</v>
      </c>
      <c r="B81" t="s">
        <v>23</v>
      </c>
      <c r="C81" t="s">
        <v>18</v>
      </c>
      <c r="D81" t="s">
        <v>13</v>
      </c>
      <c r="E81" t="s">
        <v>27</v>
      </c>
      <c r="F81">
        <v>76</v>
      </c>
      <c r="G81">
        <v>65</v>
      </c>
      <c r="H81">
        <v>68</v>
      </c>
      <c r="I81" s="30">
        <f t="shared" si="2"/>
        <v>69.666666666666671</v>
      </c>
    </row>
    <row r="82" spans="1:9" ht="15.75" customHeight="1" x14ac:dyDescent="0.35">
      <c r="A82" t="s">
        <v>120</v>
      </c>
      <c r="B82" t="s">
        <v>23</v>
      </c>
      <c r="C82" t="s">
        <v>18</v>
      </c>
      <c r="D82" t="s">
        <v>8</v>
      </c>
      <c r="E82" t="s">
        <v>28</v>
      </c>
      <c r="F82">
        <v>71</v>
      </c>
      <c r="G82">
        <v>62</v>
      </c>
      <c r="H82">
        <v>58</v>
      </c>
      <c r="I82" s="30">
        <f t="shared" si="2"/>
        <v>63.666666666666664</v>
      </c>
    </row>
    <row r="83" spans="1:9" ht="15.75" customHeight="1" x14ac:dyDescent="0.35">
      <c r="A83" t="s">
        <v>121</v>
      </c>
      <c r="B83" t="s">
        <v>23</v>
      </c>
      <c r="C83" t="s">
        <v>16</v>
      </c>
      <c r="D83" t="s">
        <v>10</v>
      </c>
      <c r="E83" t="s">
        <v>28</v>
      </c>
      <c r="F83">
        <v>74</v>
      </c>
      <c r="G83">
        <v>57</v>
      </c>
      <c r="H83">
        <v>73</v>
      </c>
      <c r="I83" s="30">
        <f t="shared" si="2"/>
        <v>68</v>
      </c>
    </row>
    <row r="84" spans="1:9" ht="15.75" customHeight="1" x14ac:dyDescent="0.35">
      <c r="A84" t="s">
        <v>122</v>
      </c>
      <c r="B84" t="s">
        <v>24</v>
      </c>
      <c r="C84" t="s">
        <v>16</v>
      </c>
      <c r="D84" t="s">
        <v>13</v>
      </c>
      <c r="E84" t="s">
        <v>28</v>
      </c>
      <c r="F84">
        <v>68</v>
      </c>
      <c r="G84">
        <v>70</v>
      </c>
      <c r="H84">
        <v>51</v>
      </c>
      <c r="I84" s="30">
        <f t="shared" si="2"/>
        <v>63</v>
      </c>
    </row>
    <row r="85" spans="1:9" ht="15.75" customHeight="1" x14ac:dyDescent="0.35">
      <c r="A85" t="s">
        <v>123</v>
      </c>
      <c r="B85" t="s">
        <v>23</v>
      </c>
      <c r="C85" t="s">
        <v>20</v>
      </c>
      <c r="D85" t="s">
        <v>10</v>
      </c>
      <c r="E85" t="s">
        <v>27</v>
      </c>
      <c r="F85">
        <v>68</v>
      </c>
      <c r="G85">
        <v>50</v>
      </c>
      <c r="H85">
        <v>56</v>
      </c>
      <c r="I85" s="30">
        <f t="shared" si="2"/>
        <v>58</v>
      </c>
    </row>
    <row r="86" spans="1:9" ht="15.75" customHeight="1" x14ac:dyDescent="0.35">
      <c r="A86" t="s">
        <v>124</v>
      </c>
      <c r="B86" t="s">
        <v>24</v>
      </c>
      <c r="C86" t="s">
        <v>18</v>
      </c>
      <c r="D86" t="s">
        <v>10</v>
      </c>
      <c r="E86" t="s">
        <v>28</v>
      </c>
      <c r="F86">
        <v>43</v>
      </c>
      <c r="G86">
        <v>73</v>
      </c>
      <c r="H86">
        <v>77</v>
      </c>
      <c r="I86" s="30">
        <f t="shared" si="2"/>
        <v>64.333333333333329</v>
      </c>
    </row>
    <row r="87" spans="1:9" ht="15.75" customHeight="1" x14ac:dyDescent="0.35">
      <c r="A87" t="s">
        <v>125</v>
      </c>
      <c r="B87" t="s">
        <v>23</v>
      </c>
      <c r="C87" t="s">
        <v>16</v>
      </c>
      <c r="D87" t="s">
        <v>11</v>
      </c>
      <c r="E87" t="s">
        <v>27</v>
      </c>
      <c r="F87">
        <v>76</v>
      </c>
      <c r="G87">
        <v>74</v>
      </c>
      <c r="H87">
        <v>49</v>
      </c>
      <c r="I87" s="30">
        <f t="shared" si="2"/>
        <v>66.333333333333329</v>
      </c>
    </row>
    <row r="88" spans="1:9" ht="15.75" customHeight="1" x14ac:dyDescent="0.35">
      <c r="A88" t="s">
        <v>126</v>
      </c>
      <c r="B88" t="s">
        <v>24</v>
      </c>
      <c r="C88" t="s">
        <v>17</v>
      </c>
      <c r="D88" t="s">
        <v>8</v>
      </c>
      <c r="E88" t="s">
        <v>28</v>
      </c>
      <c r="F88">
        <v>64</v>
      </c>
      <c r="G88">
        <v>52</v>
      </c>
      <c r="H88">
        <v>57</v>
      </c>
      <c r="I88" s="30">
        <f t="shared" si="2"/>
        <v>57.666666666666664</v>
      </c>
    </row>
    <row r="89" spans="1:9" ht="15.75" customHeight="1" x14ac:dyDescent="0.35">
      <c r="A89" t="s">
        <v>127</v>
      </c>
      <c r="B89" t="s">
        <v>23</v>
      </c>
      <c r="C89" t="s">
        <v>18</v>
      </c>
      <c r="D89" t="s">
        <v>9</v>
      </c>
      <c r="E89" t="s">
        <v>28</v>
      </c>
      <c r="F89">
        <v>54</v>
      </c>
      <c r="G89">
        <v>83</v>
      </c>
      <c r="H89">
        <v>52</v>
      </c>
      <c r="I89" s="30">
        <f t="shared" si="2"/>
        <v>63</v>
      </c>
    </row>
    <row r="90" spans="1:9" ht="15.75" customHeight="1" x14ac:dyDescent="0.35">
      <c r="A90" t="s">
        <v>128</v>
      </c>
      <c r="B90" t="s">
        <v>23</v>
      </c>
      <c r="C90" t="s">
        <v>19</v>
      </c>
      <c r="D90" t="s">
        <v>8</v>
      </c>
      <c r="E90" t="s">
        <v>28</v>
      </c>
      <c r="F90">
        <v>41</v>
      </c>
      <c r="G90">
        <v>49</v>
      </c>
      <c r="H90">
        <v>41</v>
      </c>
      <c r="I90" s="30">
        <f t="shared" si="2"/>
        <v>43.666666666666664</v>
      </c>
    </row>
    <row r="91" spans="1:9" ht="15.75" customHeight="1" x14ac:dyDescent="0.35">
      <c r="A91" t="s">
        <v>129</v>
      </c>
      <c r="B91" t="s">
        <v>23</v>
      </c>
      <c r="C91" t="s">
        <v>19</v>
      </c>
      <c r="D91" t="s">
        <v>13</v>
      </c>
      <c r="E91" t="s">
        <v>28</v>
      </c>
      <c r="F91">
        <v>44</v>
      </c>
      <c r="G91">
        <v>56</v>
      </c>
      <c r="H91">
        <v>58</v>
      </c>
      <c r="I91" s="30">
        <f t="shared" si="2"/>
        <v>52.666666666666664</v>
      </c>
    </row>
    <row r="92" spans="1:9" ht="15.75" customHeight="1" x14ac:dyDescent="0.35">
      <c r="A92" t="s">
        <v>130</v>
      </c>
      <c r="B92" t="s">
        <v>24</v>
      </c>
      <c r="C92" t="s">
        <v>19</v>
      </c>
      <c r="D92" t="s">
        <v>12</v>
      </c>
      <c r="E92" t="s">
        <v>28</v>
      </c>
      <c r="F92">
        <v>72</v>
      </c>
      <c r="G92">
        <v>69</v>
      </c>
      <c r="H92">
        <v>38</v>
      </c>
      <c r="I92" s="30">
        <f t="shared" si="2"/>
        <v>59.666666666666664</v>
      </c>
    </row>
    <row r="93" spans="1:9" ht="15.75" customHeight="1" x14ac:dyDescent="0.35">
      <c r="A93" t="s">
        <v>131</v>
      </c>
      <c r="B93" t="s">
        <v>23</v>
      </c>
      <c r="C93" t="s">
        <v>19</v>
      </c>
      <c r="D93" t="s">
        <v>9</v>
      </c>
      <c r="E93" t="s">
        <v>28</v>
      </c>
      <c r="F93">
        <v>70</v>
      </c>
      <c r="G93">
        <v>78</v>
      </c>
      <c r="H93">
        <v>50</v>
      </c>
      <c r="I93" s="30">
        <f t="shared" si="2"/>
        <v>66</v>
      </c>
    </row>
    <row r="94" spans="1:9" ht="15.75" customHeight="1" x14ac:dyDescent="0.35">
      <c r="A94" t="s">
        <v>132</v>
      </c>
      <c r="B94" t="s">
        <v>23</v>
      </c>
      <c r="C94" t="s">
        <v>17</v>
      </c>
      <c r="D94" t="s">
        <v>9</v>
      </c>
      <c r="E94" t="s">
        <v>27</v>
      </c>
      <c r="F94">
        <v>64</v>
      </c>
      <c r="G94">
        <v>53</v>
      </c>
      <c r="H94">
        <v>64</v>
      </c>
      <c r="I94" s="30">
        <f t="shared" si="2"/>
        <v>60.333333333333336</v>
      </c>
    </row>
    <row r="95" spans="1:9" ht="15.75" customHeight="1" x14ac:dyDescent="0.35">
      <c r="A95" t="s">
        <v>133</v>
      </c>
      <c r="B95" t="s">
        <v>24</v>
      </c>
      <c r="C95" t="s">
        <v>17</v>
      </c>
      <c r="D95" t="s">
        <v>10</v>
      </c>
      <c r="E95" t="s">
        <v>27</v>
      </c>
      <c r="F95">
        <v>63</v>
      </c>
      <c r="G95">
        <v>69</v>
      </c>
      <c r="H95">
        <v>79</v>
      </c>
      <c r="I95" s="30">
        <f t="shared" si="2"/>
        <v>70.333333333333329</v>
      </c>
    </row>
    <row r="96" spans="1:9" ht="15.75" customHeight="1" x14ac:dyDescent="0.35">
      <c r="A96" t="s">
        <v>134</v>
      </c>
      <c r="B96" t="s">
        <v>23</v>
      </c>
      <c r="C96" t="s">
        <v>19</v>
      </c>
      <c r="D96" t="s">
        <v>10</v>
      </c>
      <c r="E96" t="s">
        <v>27</v>
      </c>
      <c r="F96">
        <v>65</v>
      </c>
      <c r="G96">
        <v>69</v>
      </c>
      <c r="H96">
        <v>53</v>
      </c>
      <c r="I96" s="30">
        <f t="shared" si="2"/>
        <v>62.333333333333336</v>
      </c>
    </row>
    <row r="97" spans="1:9" ht="15.75" customHeight="1" x14ac:dyDescent="0.35">
      <c r="A97" t="s">
        <v>135</v>
      </c>
      <c r="B97" t="s">
        <v>23</v>
      </c>
      <c r="C97" t="s">
        <v>19</v>
      </c>
      <c r="D97" t="s">
        <v>8</v>
      </c>
      <c r="E97" t="s">
        <v>27</v>
      </c>
      <c r="F97">
        <v>71</v>
      </c>
      <c r="G97">
        <v>74</v>
      </c>
      <c r="H97">
        <v>60</v>
      </c>
      <c r="I97" s="30">
        <f t="shared" si="2"/>
        <v>68.333333333333329</v>
      </c>
    </row>
    <row r="98" spans="1:9" ht="15.75" customHeight="1" x14ac:dyDescent="0.35">
      <c r="A98" t="s">
        <v>136</v>
      </c>
      <c r="B98" t="s">
        <v>24</v>
      </c>
      <c r="C98" t="s">
        <v>18</v>
      </c>
      <c r="D98" t="s">
        <v>8</v>
      </c>
      <c r="E98" t="s">
        <v>27</v>
      </c>
      <c r="F98">
        <v>60</v>
      </c>
      <c r="G98">
        <v>90</v>
      </c>
      <c r="H98">
        <v>58</v>
      </c>
      <c r="I98" s="30">
        <f t="shared" ref="I98:I129" si="3">AVERAGE(F98:H98)</f>
        <v>69.333333333333329</v>
      </c>
    </row>
    <row r="99" spans="1:9" ht="15.75" customHeight="1" x14ac:dyDescent="0.35">
      <c r="A99" t="s">
        <v>37</v>
      </c>
      <c r="B99" t="s">
        <v>24</v>
      </c>
      <c r="C99" t="s">
        <v>16</v>
      </c>
      <c r="D99" t="s">
        <v>8</v>
      </c>
      <c r="E99" t="s">
        <v>27</v>
      </c>
      <c r="F99">
        <v>88</v>
      </c>
      <c r="G99">
        <v>79</v>
      </c>
      <c r="H99">
        <v>58</v>
      </c>
      <c r="I99" s="30">
        <f t="shared" si="3"/>
        <v>75</v>
      </c>
    </row>
    <row r="100" spans="1:9" ht="15.75" customHeight="1" x14ac:dyDescent="0.35">
      <c r="A100" t="s">
        <v>137</v>
      </c>
      <c r="B100" t="s">
        <v>23</v>
      </c>
      <c r="C100" t="s">
        <v>18</v>
      </c>
      <c r="D100" t="s">
        <v>9</v>
      </c>
      <c r="E100" t="s">
        <v>27</v>
      </c>
      <c r="F100">
        <v>54</v>
      </c>
      <c r="G100">
        <v>73</v>
      </c>
      <c r="H100">
        <v>62</v>
      </c>
      <c r="I100" s="30">
        <f t="shared" si="3"/>
        <v>63</v>
      </c>
    </row>
    <row r="101" spans="1:9" ht="15.75" customHeight="1" x14ac:dyDescent="0.35">
      <c r="A101" t="s">
        <v>138</v>
      </c>
      <c r="B101" t="s">
        <v>23</v>
      </c>
      <c r="C101" t="s">
        <v>16</v>
      </c>
      <c r="D101" t="s">
        <v>13</v>
      </c>
      <c r="E101" t="s">
        <v>28</v>
      </c>
      <c r="F101">
        <v>64</v>
      </c>
      <c r="G101">
        <v>50</v>
      </c>
      <c r="H101">
        <v>62</v>
      </c>
      <c r="I101" s="30">
        <f t="shared" si="3"/>
        <v>58.666666666666664</v>
      </c>
    </row>
    <row r="102" spans="1:9" ht="15.75" customHeight="1" x14ac:dyDescent="0.35">
      <c r="I102" s="31"/>
    </row>
    <row r="103" spans="1:9" ht="15.75" customHeight="1" x14ac:dyDescent="0.35"/>
    <row r="104" spans="1:9" ht="15.75" customHeight="1" x14ac:dyDescent="0.35"/>
    <row r="105" spans="1:9" ht="15.75" customHeight="1" x14ac:dyDescent="0.35"/>
    <row r="106" spans="1:9" ht="15.75" customHeight="1" x14ac:dyDescent="0.35"/>
    <row r="107" spans="1:9" ht="15.75" customHeight="1" x14ac:dyDescent="0.35"/>
    <row r="108" spans="1:9" ht="15.75" customHeight="1" x14ac:dyDescent="0.35"/>
    <row r="109" spans="1:9" ht="15.75" customHeight="1" x14ac:dyDescent="0.35"/>
    <row r="110" spans="1:9" ht="15.75" customHeight="1" x14ac:dyDescent="0.35"/>
    <row r="111" spans="1:9" ht="15.75" customHeight="1" x14ac:dyDescent="0.35"/>
    <row r="112" spans="1:9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0000000000000007" right="0.70000000000000007" top="1.1437500000000003" bottom="1.1437500000000003" header="0.75000000000000011" footer="0.75000000000000011"/>
  <pageSetup paperSize="0" fitToWidth="0" fitToHeight="0" orientation="landscape" horizontalDpi="0" verticalDpi="0" copies="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2025-04-21T11:13:02Z</dcterms:created>
  <dcterms:modified xsi:type="dcterms:W3CDTF">2026-06-13T07:48:05Z</dcterms:modified>
</cp:coreProperties>
</file>